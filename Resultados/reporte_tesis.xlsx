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xi\OneDrive\Escritorio\ReportesTesis\"/>
    </mc:Choice>
  </mc:AlternateContent>
  <xr:revisionPtr revIDLastSave="0" documentId="13_ncr:1_{C2286AA1-7EDE-4B64-8CD9-EE3AB3218F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ase_4_Final" sheetId="1" r:id="rId1"/>
    <sheet name="comparacionDirecta" sheetId="2" r:id="rId2"/>
    <sheet name="Evolucion_F1_F4" sheetId="3" r:id="rId3"/>
    <sheet name="Resumen_Dataset" sheetId="4" r:id="rId4"/>
    <sheet name="Detalle_Runs" sheetId="5" r:id="rId5"/>
    <sheet name="Config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2" l="1"/>
  <c r="I99" i="2"/>
  <c r="I100" i="2"/>
  <c r="I101" i="2"/>
  <c r="I102" i="2"/>
  <c r="I103" i="2"/>
  <c r="I104" i="2"/>
  <c r="I105" i="2"/>
  <c r="I106" i="2"/>
  <c r="I97" i="2"/>
</calcChain>
</file>

<file path=xl/sharedStrings.xml><?xml version="1.0" encoding="utf-8"?>
<sst xmlns="http://schemas.openxmlformats.org/spreadsheetml/2006/main" count="2201" uniqueCount="670">
  <si>
    <t>dataset</t>
  </si>
  <si>
    <t>familia</t>
  </si>
  <si>
    <t>variante</t>
  </si>
  <si>
    <t>run_id_f4</t>
  </si>
  <si>
    <t>f4_auc_test</t>
  </si>
  <si>
    <t>f4_accuracy_test</t>
  </si>
  <si>
    <t>f4_recall_test</t>
  </si>
  <si>
    <t>f4_specificity_test</t>
  </si>
  <si>
    <t>f4_f1_test</t>
  </si>
  <si>
    <t>f4_auc_valid</t>
  </si>
  <si>
    <t>f4_accuracy_valid</t>
  </si>
  <si>
    <t>f4_recall_valid</t>
  </si>
  <si>
    <t>f4_specificity_valid</t>
  </si>
  <si>
    <t>f4_f1_valid</t>
  </si>
  <si>
    <t>f4_size_mb</t>
  </si>
  <si>
    <t>f4_latency_ms</t>
  </si>
  <si>
    <t>f4_speedup</t>
  </si>
  <si>
    <t>f4_fp32_auc_test</t>
  </si>
  <si>
    <t>f4_fp32_accuracy_test</t>
  </si>
  <si>
    <t>f4_fp32_recall_test</t>
  </si>
  <si>
    <t>f4_fp32_specificity_test</t>
  </si>
  <si>
    <t>f4_fp32_f1_test</t>
  </si>
  <si>
    <t>delta_auc_f1_f4</t>
  </si>
  <si>
    <t>delta_accuracy_f1_f4</t>
  </si>
  <si>
    <t>delta_recall_f1_f4</t>
  </si>
  <si>
    <t>delta_specificity_f1_f4</t>
  </si>
  <si>
    <t>delta_f1_f1_f4</t>
  </si>
  <si>
    <t>f1_size_mb</t>
  </si>
  <si>
    <t>ojo_dr</t>
  </si>
  <si>
    <t>yolo</t>
  </si>
  <si>
    <t>yolo26m</t>
  </si>
  <si>
    <t>cadd967ef08342f2bbbee3ae84033109</t>
  </si>
  <si>
    <t>efficientnetv2</t>
  </si>
  <si>
    <t>effv2_s</t>
  </si>
  <si>
    <t>23c4e798c10b44cfb8e7aa3569a4bf47</t>
  </si>
  <si>
    <t>oral_cancer_v2</t>
  </si>
  <si>
    <t>83b7c5fc7a0f4fd5a5012dcfc1ec8e90</t>
  </si>
  <si>
    <t>skin_melanoma</t>
  </si>
  <si>
    <t>yolo26n</t>
  </si>
  <si>
    <t>1a1b086657274d1d9874a20a79a9db4f</t>
  </si>
  <si>
    <t>adb6169601e6412aa573cc0727a3391c</t>
  </si>
  <si>
    <t>50e2b29b422a47f59d78ef23a9a32fc1</t>
  </si>
  <si>
    <t>mobilenetv4</t>
  </si>
  <si>
    <t>mnv4_conv_medium</t>
  </si>
  <si>
    <t>4ed14404bdab414a9744fb7da11cf886</t>
  </si>
  <si>
    <t>7fcc2d51c8914d7496b1d33a94fddcae</t>
  </si>
  <si>
    <t>2796b95e26e74aebaae94efacf37e48e</t>
  </si>
  <si>
    <t>mnv4_conv_small</t>
  </si>
  <si>
    <t>13e39e3702b5420ebc6c7cb381405e9f</t>
  </si>
  <si>
    <t>modelo</t>
  </si>
  <si>
    <t>acc_f1</t>
  </si>
  <si>
    <t>acc_f4</t>
  </si>
  <si>
    <t>delta_acc</t>
  </si>
  <si>
    <t>recall_f1</t>
  </si>
  <si>
    <t>recall_f4</t>
  </si>
  <si>
    <t>delta_recall</t>
  </si>
  <si>
    <t>specificity_f1</t>
  </si>
  <si>
    <t>specificity_f4</t>
  </si>
  <si>
    <t>delta_specificity</t>
  </si>
  <si>
    <t>f1_f1</t>
  </si>
  <si>
    <t>f1_f4</t>
  </si>
  <si>
    <t>delta_f1</t>
  </si>
  <si>
    <t>auc_f1</t>
  </si>
  <si>
    <t>auc_f4</t>
  </si>
  <si>
    <t>delta_auc</t>
  </si>
  <si>
    <t>latency_ms_f1</t>
  </si>
  <si>
    <t>latency_ms_f4</t>
  </si>
  <si>
    <t>size_mb_f1</t>
  </si>
  <si>
    <t>size_mb_f4</t>
  </si>
  <si>
    <t>yolo_yolo26m</t>
  </si>
  <si>
    <t>2ef56ddbbf40414c924b1470cc0029cf</t>
  </si>
  <si>
    <t>efficientnetv2_effv2_s</t>
  </si>
  <si>
    <t>9a84c6aea6214b2e81587cb4c1d31716</t>
  </si>
  <si>
    <t>821d3712444840dc99aa4859c6c4f5dc</t>
  </si>
  <si>
    <t>yolo_yolo26n</t>
  </si>
  <si>
    <t>a36feff2a43c49b78535229211295e86</t>
  </si>
  <si>
    <t>41ac48dc6a6f4cd0873e65a929377d3e</t>
  </si>
  <si>
    <t>49a28ea2b9454abfa81343c315b809e7</t>
  </si>
  <si>
    <t>mobilenetv4_mnv4_conv_medium</t>
  </si>
  <si>
    <t>b81fbd0137d447cb9fcd0a2ad41c6d31</t>
  </si>
  <si>
    <t>06a07fb52fba43ecbaaa2c6847ef516a</t>
  </si>
  <si>
    <t>0db7ba3c1cc9487a9e84f6195c112371</t>
  </si>
  <si>
    <t>mobilenetv4_mnv4_conv_small</t>
  </si>
  <si>
    <t>56cb6223e1c749909e06a66abcc36e7c</t>
  </si>
  <si>
    <t>f1_auc_test</t>
  </si>
  <si>
    <t>f1_accuracy_test</t>
  </si>
  <si>
    <t>f1_recall_test</t>
  </si>
  <si>
    <t>f1_specificity_test</t>
  </si>
  <si>
    <t>f1_f1_test</t>
  </si>
  <si>
    <t>f1_auc_valid</t>
  </si>
  <si>
    <t>f1_accuracy_valid</t>
  </si>
  <si>
    <t>f1_recall_valid</t>
  </si>
  <si>
    <t>f1_specificity_valid</t>
  </si>
  <si>
    <t>f1_f1_valid</t>
  </si>
  <si>
    <t>f1_latency_ms</t>
  </si>
  <si>
    <t>f1_speedup</t>
  </si>
  <si>
    <t>f1_run_id</t>
  </si>
  <si>
    <t>f2_auc_test</t>
  </si>
  <si>
    <t>f2_accuracy_test</t>
  </si>
  <si>
    <t>f2_recall_test</t>
  </si>
  <si>
    <t>f2_specificity_test</t>
  </si>
  <si>
    <t>f2_f1_test</t>
  </si>
  <si>
    <t>f2_auc_valid</t>
  </si>
  <si>
    <t>f2_accuracy_valid</t>
  </si>
  <si>
    <t>f2_recall_valid</t>
  </si>
  <si>
    <t>f2_specificity_valid</t>
  </si>
  <si>
    <t>f2_f1_valid</t>
  </si>
  <si>
    <t>f2_size_mb</t>
  </si>
  <si>
    <t>f2_latency_ms</t>
  </si>
  <si>
    <t>f2_speedup</t>
  </si>
  <si>
    <t>f2_run_id</t>
  </si>
  <si>
    <t>f3_auc_test</t>
  </si>
  <si>
    <t>f3_accuracy_test</t>
  </si>
  <si>
    <t>f3_recall_test</t>
  </si>
  <si>
    <t>f3_specificity_test</t>
  </si>
  <si>
    <t>f3_f1_test</t>
  </si>
  <si>
    <t>f3_auc_valid</t>
  </si>
  <si>
    <t>f3_accuracy_valid</t>
  </si>
  <si>
    <t>f3_recall_valid</t>
  </si>
  <si>
    <t>f3_specificity_valid</t>
  </si>
  <si>
    <t>f3_f1_valid</t>
  </si>
  <si>
    <t>f3_size_mb</t>
  </si>
  <si>
    <t>f3_latency_ms</t>
  </si>
  <si>
    <t>f3_speedup</t>
  </si>
  <si>
    <t>f3_run_id</t>
  </si>
  <si>
    <t>f4_run_id</t>
  </si>
  <si>
    <t>a6dedf5b65974c0ea698ebd630921430</t>
  </si>
  <si>
    <t>14722c5fd6d8436190b8327413831617</t>
  </si>
  <si>
    <t>5435210c167f4e8cadb7d3da7a30774d</t>
  </si>
  <si>
    <t>8dd5fdea2e24481285f6e78e79590631</t>
  </si>
  <si>
    <t>91d02d3046184c189d1281d6dc4744c4</t>
  </si>
  <si>
    <t>e1dbcffebfc5440cbbafdd32ab303a7c</t>
  </si>
  <si>
    <t>79e99b5689f04d048292cf879e52e610</t>
  </si>
  <si>
    <t>91eca37851954eb3839bf57cce45a0c2</t>
  </si>
  <si>
    <t>bc7d97c39161491b84ec97477525a5a7</t>
  </si>
  <si>
    <t>0083296348e145f7827ec883fbe3c0b5</t>
  </si>
  <si>
    <t>fb7f2b60b0d04a48847b093b5b254511</t>
  </si>
  <si>
    <t>890a48ff07334062a6bb99788f25873e</t>
  </si>
  <si>
    <t>658fe98f797d4bd6a17b04ee98537f18</t>
  </si>
  <si>
    <t>4d63ee01c7cd4bc8bb9114c6f4606722</t>
  </si>
  <si>
    <t>mnv4_conv_large</t>
  </si>
  <si>
    <t>78d63e151cde44cbbd30091134a85f66</t>
  </si>
  <si>
    <t>ade2ceee5ea64fbd900022b58a6e143f</t>
  </si>
  <si>
    <t>2bd454d9ef4348268c9e9819f75b55c6</t>
  </si>
  <si>
    <t>b5c1706d0940426ba4cc66e66a11f71b</t>
  </si>
  <si>
    <t>26fadd2a53cd484f8ee3305b52e6f3f8</t>
  </si>
  <si>
    <t>yolo26l</t>
  </si>
  <si>
    <t>50a01c5cb4a6441699f2bf6048911d9a</t>
  </si>
  <si>
    <t>c89aacfb77c744868b78987bafd8c917</t>
  </si>
  <si>
    <t>279c3ecb92e242f681ced3d196643fde</t>
  </si>
  <si>
    <t>3d4f6646b8cd44d4bde8e25f1cc550a9</t>
  </si>
  <si>
    <t>yolo26s</t>
  </si>
  <si>
    <t>3cb6b8583279434f9665686455ead5b7</t>
  </si>
  <si>
    <t>yolo26x</t>
  </si>
  <si>
    <t>0e88e7a538b84f21bfd41fcda524aa7c</t>
  </si>
  <si>
    <t>unas_melanoma</t>
  </si>
  <si>
    <t>cd3db302ac6141108b30ad15aa0c4558</t>
  </si>
  <si>
    <t>a2a99d62ebf54b7cab7b5ed407f5f867</t>
  </si>
  <si>
    <t>fase</t>
  </si>
  <si>
    <t>run_id</t>
  </si>
  <si>
    <t>auc_test</t>
  </si>
  <si>
    <t>accuracy_test</t>
  </si>
  <si>
    <t>recall_test</t>
  </si>
  <si>
    <t>specificity_test</t>
  </si>
  <si>
    <t>f1_test</t>
  </si>
  <si>
    <t>auc_valid</t>
  </si>
  <si>
    <t>accuracy_valid</t>
  </si>
  <si>
    <t>recall_valid</t>
  </si>
  <si>
    <t>specificity_valid</t>
  </si>
  <si>
    <t>f1_valid</t>
  </si>
  <si>
    <t>size_mb</t>
  </si>
  <si>
    <t>latency_ms</t>
  </si>
  <si>
    <t>speedup</t>
  </si>
  <si>
    <t>Fase 1</t>
  </si>
  <si>
    <t>Fase 4</t>
  </si>
  <si>
    <t>mobilenetv4_mnv4_conv_large</t>
  </si>
  <si>
    <t>yolo_yolo26l</t>
  </si>
  <si>
    <t>yolo_yolo26s</t>
  </si>
  <si>
    <t>yolo_yolo26x</t>
  </si>
  <si>
    <t>experiment_id</t>
  </si>
  <si>
    <t>experiment_name</t>
  </si>
  <si>
    <t>status</t>
  </si>
  <si>
    <t>auc</t>
  </si>
  <si>
    <t>epochs</t>
  </si>
  <si>
    <t>batch</t>
  </si>
  <si>
    <t>lr</t>
  </si>
  <si>
    <t>lr0</t>
  </si>
  <si>
    <t>optimizer</t>
  </si>
  <si>
    <t>weight_decay</t>
  </si>
  <si>
    <t>pruning_ratio</t>
  </si>
  <si>
    <t>kd_alpha</t>
  </si>
  <si>
    <t>kd_temperature</t>
  </si>
  <si>
    <t>ft_epochs</t>
  </si>
  <si>
    <t>calibration_batches</t>
  </si>
  <si>
    <t>opset_version</t>
  </si>
  <si>
    <t>7</t>
  </si>
  <si>
    <t>OjoDR_EfficientNetV2</t>
  </si>
  <si>
    <t>FINISHED</t>
  </si>
  <si>
    <t>F1-train</t>
  </si>
  <si>
    <t>100</t>
  </si>
  <si>
    <t>64</t>
  </si>
  <si>
    <t>0.0005</t>
  </si>
  <si>
    <t>AdamW</t>
  </si>
  <si>
    <t>0.005</t>
  </si>
  <si>
    <t>F2-prune</t>
  </si>
  <si>
    <t>0.3</t>
  </si>
  <si>
    <t>F3-ft</t>
  </si>
  <si>
    <t>0.5</t>
  </si>
  <si>
    <t>4.0</t>
  </si>
  <si>
    <t>50</t>
  </si>
  <si>
    <t>F4-quant</t>
  </si>
  <si>
    <t>10</t>
  </si>
  <si>
    <t>17</t>
  </si>
  <si>
    <t>8</t>
  </si>
  <si>
    <t>OjoDR_MobileNetV4</t>
  </si>
  <si>
    <t>9</t>
  </si>
  <si>
    <t>OjoDR_YOLO</t>
  </si>
  <si>
    <t>6</t>
  </si>
  <si>
    <t>OralCancerV2_EfficientNetV2</t>
  </si>
  <si>
    <t>OralCancerV2_MobileNetV4</t>
  </si>
  <si>
    <t>11</t>
  </si>
  <si>
    <t>OralCancerV2_YOLO</t>
  </si>
  <si>
    <t>2</t>
  </si>
  <si>
    <t>Melanoma_EfficientNetV2</t>
  </si>
  <si>
    <t>150</t>
  </si>
  <si>
    <t>3</t>
  </si>
  <si>
    <t>Melanoma_MobileNetV4</t>
  </si>
  <si>
    <t>d4fff472b2ad47158a18567173d1766b</t>
  </si>
  <si>
    <t>8b2713a4bc69463ba922a84b4d397e96</t>
  </si>
  <si>
    <t>0.001</t>
  </si>
  <si>
    <t>1</t>
  </si>
  <si>
    <t>Melanoma_YOLO</t>
  </si>
  <si>
    <t>4</t>
  </si>
  <si>
    <t>Unas_EfficientNetV2</t>
  </si>
  <si>
    <t>5</t>
  </si>
  <si>
    <t>Unas_MobileNetV4</t>
  </si>
  <si>
    <t>config</t>
  </si>
  <si>
    <t>ruta</t>
  </si>
  <si>
    <t>contenido</t>
  </si>
  <si>
    <t>efficientnetv2_s</t>
  </si>
  <si>
    <t>Experiments\ojo_dr\efficientnetv2\configs\efficientnetv2_s.yaml</t>
  </si>
  <si>
    <t xml:space="preserve"># ── Identificación ────────────────────────────────────────────────────────────
experiment_name:   "effv2_s_imbalanced_focal"
mlflow_experiment: "OjoDR_EfficientNetV2"
task:              "ojo_dr"
positive_class: "dr"
data_path:         "Datasets/ojo_dr_binary_v1.0/split_data"
output_dir:        "Experiments/ojo_dr/efficientnetv2/effv2_s/train"
# ── Modelo (timm) ─────────────────────────────────────────────────────────────
model_name:   "tf_efficientnetv2_s"
pretrained:   false
dropout:      0.4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</si>
  <si>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efficientnetv2_s_finetune_kd</t>
  </si>
  <si>
    <t>Experiments\ojo_dr\efficientnetv2\configs\efficientnetv2_s_finetune_kd.yaml</t>
  </si>
  <si>
    <t xml:space="preserve"># ── Fase 3: Fine-tuning (Knowledge Distillation) ──────────────────────────────
experiment_name:   "effv2_s_finetune_kd"
mlflow_experiment: "OjoDR_EfficientNetV2"
task:              "ojo_dr"
positive_class: "dr"
data_path:         "Datasets/ojo_dr_binary_v1.0/split_data"
source_weights:    "Experiments/ojo_dr/efficientnetv2/effv2_s/pruned/pruned.pt"
teacher_weights:   "Experiments/ojo_dr/efficientnetv2/effv2_s/train/best.pt"
output_dir:        "Experiments/ojo_dr/efficientnetv2/effv2_s/finetuned"
imgsz:             224
dropout:           0.4
ft_method:         "kd"            # kd | scheduler
ft_epochs:         50
ft_batch:          64
ft_lr:             0.0005
ft_optimizer:      adamw
ft_weight_decay:   0.005
ft_patience:       10
kd_alpha:          0.5
kd_temperature:    4.0
</t>
  </si>
  <si>
    <t>efficientnetv2_s_prune_taylor</t>
  </si>
  <si>
    <t>Experiments\ojo_dr\efficientnetv2\configs\efficientnetv2_s_prune_taylor.yaml</t>
  </si>
  <si>
    <t xml:space="preserve"># ── Fase 2: Pruning (Taylor) ──────────────────────────────────────────────────
experiment_name:   "effv2_s_prune_taylor"
mlflow_experiment: "OjoDR_EfficientNetV2"
task:              "ojo_dr"
positive_class: "dr"
data_path:         "Datasets/ojo_dr_binary_v1.0/split_data"
source_weights:    "Experiments/ojo_dr/efficientnetv2/effv2_s/train/best.pt"
output_dir:        "Experiments/ojo_dr/efficientnetv2/effv2_s/pruned"
imgsz:             224
batch:             64
pruning_method:       "taylor"     # taylor | magnitude
pruning_ratio:        0.3
pruning_grad_batches: 10
</t>
  </si>
  <si>
    <t>efficientnetv2_s_quantize</t>
  </si>
  <si>
    <t>Experiments\ojo_dr\efficientnetv2\configs\efficientnetv2_s_quantize.yaml</t>
  </si>
  <si>
    <t xml:space="preserve"># ── Fase 4: Quantization (INT8 PTQ via ONNX) ──────────────────────────────────
experiment_name:   "effv2_s_quantize"
mlflow_experiment: "OjoDR_EfficientNetV2"
task:              "ojo_dr"
positive_class: "dr"
data_path:         "Datasets/ojo_dr_binary_v1.0/split_data"
source_weights:    "Experiments/ojo_dr/efficientnetv2/effv2_s/finetuned/finetuned.pt"
output_dir:        "Experiments/ojo_dr/efficientnetv2/effv2_s/quantized"
imgsz:             224
batch:             64
opset_version:     17
calibration_batches: 10
</t>
  </si>
  <si>
    <t>mobilenetv4_conv_large</t>
  </si>
  <si>
    <t>Experiments\ojo_dr\mobilenetv4\configs\mobilenetv4_conv_large.yaml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</si>
  <si>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"mnv4_conv_large_imbalanced_focal"
mlflow_experiment: "OjoDR_MobileNetV4"
task:              "ojo_dr"
positive_class: "dr"
data_path:         "Datasets/ojo_dr_binary_v1.0/split_data"
output_dir:        "Experiments/ojo_dr/mobilenetv4/mnv4_conv_large/train"
# ── Modelo (timm) ─────────────────────────────────────────────────────────────
model_name:   "mobilenetv4_conv_large"
pretrained:   false
dropout:      0.5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</si>
  <si>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mobilenetv4_conv_large_finetune_kd</t>
  </si>
  <si>
    <t>Experiments\ojo_dr\mobilenetv4\configs\mobilenetv4_conv_large_finetune_kd.yaml</t>
  </si>
  <si>
    <t xml:space="preserve"># ── Fase 3: Fine-tuning (Knowledge Distillation) ──────────────────────────────
experiment_name:   "mnv4_conv_large_finetune_kd"
mlflow_experiment: "OjoDR_MobileNetV4"
task:              "ojo_dr"
positive_class: "dr"
data_path:         "Datasets/ojo_dr_binary_v1.0/split_data"
source_weights:    "Experiments/ojo_dr/mobilenetv4/mnv4_conv_large/pruned/pruned.pt"
teacher_weights:   "Experiments/ojo_dr/mobilenetv4/mnv4_conv_large/train/best.pt"
output_dir:        "Experiments/ojo_dr/mobilenetv4/mnv4_conv_large/finetuned"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</si>
  <si>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mobilenetv4_conv_large_prune_taylor</t>
  </si>
  <si>
    <t>Experiments\ojo_dr\mobilenetv4\configs\mobilenetv4_conv_large_prune_taylor.yaml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</si>
  <si>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"mnv4_conv_large_prune_taylor"
mlflow_experiment: "OjoDR_MobileNetV4"
task:              "ojo_dr"
positive_class: "dr"
data_path:         "Datasets/ojo_dr_binary_v1.0/split_data"
source_weights:    "Experiments/ojo_dr/mobilenetv4/mnv4_conv_large/train/best.pt"
output_dir:        "Experiments/ojo_dr/mobilenetv4/mnv4_conv_large/pruned"
imgsz:             224
batch:             64
pruning_method:       "taylor"     # taylor | magnitude
pruning_ratio:        0.3
pruning_grad_batches: 10
</t>
  </si>
  <si>
    <t>mobilenetv4_conv_large_quantize</t>
  </si>
  <si>
    <t>Experiments\ojo_dr\mobilenetv4\configs\mobilenetv4_conv_large_quantize.yaml</t>
  </si>
  <si>
    <t xml:space="preserve"># ── Fase 4: Quantization (INT8 PTQ via ONNX) ──────────────────────────────────
experiment_name:   "mnv4_conv_large_quantize"
mlflow_experiment: "OjoDR_MobileNetV4"
task:              "ojo_dr"
positive_class: "dr"
data_path:         "Datasets/ojo_dr_binary_v1.0/split_data"
source_weights:    "Experiments/ojo_dr/mobilenetv4/mnv4_conv_large/finetuned/finetuned.pt"
output_dir:        "Experiments/ojo_dr/mobilenetv4/mnv4_conv_large/quantized"
imgsz:             224
batch:             64
opset_version:     17
calibration_batches: 10
</t>
  </si>
  <si>
    <t>mobilenetv4_conv_medium</t>
  </si>
  <si>
    <t>Experiments\ojo_dr\mobilenetv4\configs\mobilenetv4_conv_medium.yaml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</si>
  <si>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"mnv4_conv_medium_imbalanced_focal"
mlflow_experiment: "OjoDR_MobileNetV4"
task:              "ojo_dr"
positive_class: "dr"
data_path:         "Datasets/ojo_dr_binary_v1.0/split_data"
output_dir:        "Experiments/ojo_dr/mobilenetv4/mnv4_conv_medium/train"
# ── Modelo (timm) ─────────────────────────────────────────────────────────────
model_name:   "mobilenetv4_conv_medium"
pretrained:   false
dropout:      0.4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</si>
  <si>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mobilenetv4_conv_medium_finetune_kd</t>
  </si>
  <si>
    <t>Experiments\ojo_dr\mobilenetv4\configs\mobilenetv4_conv_medium_finetune_kd.yaml</t>
  </si>
  <si>
    <t xml:space="preserve"># ── Fase 3: Fine-tuning (Knowledge Distillation) ──────────────────────────────
experiment_name:   "mnv4_conv_medium_finetune_kd"
mlflow_experiment: "OjoDR_MobileNetV4"
task:              "ojo_dr"
positive_class: "dr"
data_path:         "Datasets/ojo_dr_binary_v1.0/split_data"
source_weights:    "Experiments/ojo_dr/mobilenetv4/mnv4_conv_medium/pruned/pruned.pt"
teacher_weights:   "Experiments/ojo_dr/mobilenetv4/mnv4_conv_medium/train/best.pt"
output_dir:        "Experiments/ojo_dr/mobilenetv4/mnv4_conv_medium/finetuned"
imgsz:             224
dropout:           0.4
ft_method:         "kd"            # kd | scheduler
ft_epochs:         50
ft_batch:          64
ft_lr:             0.0005
ft_optimizer:      adamw
ft_weight_decay:   0.005
ft_patience:       10
kd_alpha:          0.5
kd_temperature:    4.0
</t>
  </si>
  <si>
    <t>mobilenetv4_conv_medium_prune_taylor</t>
  </si>
  <si>
    <t>Experiments\ojo_dr\mobilenetv4\configs\mobilenetv4_conv_medium_prune_taylor.yaml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</si>
  <si>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"mnv4_conv_medium_prune_taylor"
mlflow_experiment: "OjoDR_MobileNetV4"
task:              "ojo_dr"
positive_class: "dr"
data_path:         "Datasets/ojo_dr_binary_v1.0/split_data"
source_weights:    "Experiments/ojo_dr/mobilenetv4/mnv4_conv_medium/train/best.pt"
output_dir:        "Experiments/ojo_dr/mobilenetv4/mnv4_conv_medium/pruned"
imgsz:             224
batch:             64
pruning_method:       "taylor"     # taylor | magnitude
pruning_ratio:        0.3
pruning_grad_batches: 10
</t>
  </si>
  <si>
    <t>mobilenetv4_conv_medium_quantize</t>
  </si>
  <si>
    <t>Experiments\ojo_dr\mobilenetv4\configs\mobilenetv4_conv_medium_quantize.yaml</t>
  </si>
  <si>
    <t xml:space="preserve"># ── Fase 4: Quantization (INT8 PTQ via ONNX) ──────────────────────────────────
experiment_name:   "mnv4_conv_medium_quantize"
mlflow_experiment: "OjoDR_MobileNetV4"
task:              "ojo_dr"
positive_class: "dr"
data_path:         "Datasets/ojo_dr_binary_v1.0/split_data"
source_weights:    "Experiments/ojo_dr/mobilenetv4/mnv4_conv_medium/finetuned/finetuned.pt"
output_dir:        "Experiments/ojo_dr/mobilenetv4/mnv4_conv_medium/quantized"
imgsz:             224
batch:             64
opset_version:     17
calibration_batches: 10
</t>
  </si>
  <si>
    <t>mobilenetv4_conv_small</t>
  </si>
  <si>
    <t>Experiments\ojo_dr\mobilenetv4\configs\mobilenetv4_conv_small.yaml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</si>
  <si>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"mnv4_conv_small_imbalanced_focal"
mlflow_experiment: "OjoDR_MobileNetV4"
task:              "ojo_dr"
positive_class: "dr"
data_path:         "Datasets/ojo_dr_binary_v1.0/split_data"
output_dir:        "Experiments/ojo_dr/mobilenetv4/mnv4_conv_small/train"
# ── Modelo (timm) ─────────────────────────────────────────────────────────────
model_name:   "mobilenetv4_conv_small"
pretrained:   false
dropout:      0.2
# ── Entrenamiento ─────────────────────────────────────────────────────────────
epochs:       50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0.001
weight_decay: 0.001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</si>
  <si>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mobilenetv4_conv_small_finetune_kd</t>
  </si>
  <si>
    <t>Experiments\ojo_dr\mobilenetv4\configs\mobilenetv4_conv_small_finetune_kd.yaml</t>
  </si>
  <si>
    <t xml:space="preserve"># ── Fase 3: Fine-tuning (Knowledge Distillation) ──────────────────────────────
experiment_name:   "mnv4_conv_small_finetune_kd"
mlflow_experiment: "OjoDR_MobileNetV4"
task:              "ojo_dr"
positive_class: "dr"
data_path:         "Datasets/ojo_dr_binary_v1.0/split_data"
source_weights:    "Experiments/ojo_dr/mobilenetv4/mnv4_conv_small/pruned/pruned.pt"
teacher_weights:   "Experiments/ojo_dr/mobilenetv4/mnv4_conv_small/train/best.pt"
output_dir:        "Experiments/ojo_dr/mobilenetv4/mnv4_conv_small/finetuned"
imgsz:             224
dropout:           0.2
ft_method:         "kd"            # kd | scheduler
ft_epochs:         50
ft_batch:          64
ft_lr:             0.001
ft_optimizer:      adamw
ft_weight_decay:   0.001
ft_patience:       10
kd_alpha:          0.5
kd_temperature:    4.0
</t>
  </si>
  <si>
    <t>mobilenetv4_conv_small_prune_taylor</t>
  </si>
  <si>
    <t>Experiments\ojo_dr\mobilenetv4\configs\mobilenetv4_conv_small_prune_taylor.yaml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</si>
  <si>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"mnv4_conv_small_prune_taylor"
mlflow_experiment: "OjoDR_MobileNetV4"
task:              "ojo_dr"
positive_class: "dr"
data_path:         "Datasets/ojo_dr_binary_v1.0/split_data"
source_weights:    "Experiments/ojo_dr/mobilenetv4/mnv4_conv_small/train/best.pt"
output_dir:        "Experiments/ojo_dr/mobilenetv4/mnv4_conv_small/pruned"
imgsz:             224
batch:             64
pruning_method:       "taylor"     # taylor | magnitude
pruning_ratio:        0.3
pruning_grad_batches: 10
</t>
  </si>
  <si>
    <t>mobilenetv4_conv_small_quantize</t>
  </si>
  <si>
    <t>Experiments\ojo_dr\mobilenetv4\configs\mobilenetv4_conv_small_quantize.yaml</t>
  </si>
  <si>
    <t xml:space="preserve"># ── Fase 4: Quantization (INT8 PTQ via ONNX) ──────────────────────────────────
experiment_name:   "mnv4_conv_small_quantize"
mlflow_experiment: "OjoDR_MobileNetV4"
task:              "ojo_dr"
positive_class: "dr"
data_path:         "Datasets/ojo_dr_binary_v1.0/split_data"
source_weights:    "Experiments/ojo_dr/mobilenetv4/mnv4_conv_small/finetuned/finetuned.pt"
output_dir:        "Experiments/ojo_dr/mobilenetv4/mnv4_conv_small/quantized"
imgsz:             224
batch:             64
opset_version:     17
calibration_batches: 10
</t>
  </si>
  <si>
    <t>qat</t>
  </si>
  <si>
    <t>Experiments\ojo_dr\yolo\configs\qat.yaml</t>
  </si>
  <si>
    <t xml:space="preserve">experiment_name:   "04_qat"
mlflow_experiment: "OjoDR_YOLO"
task:              "ojo_dr"
# Pesos del modelo fine-tuned (Phase 3) y arquitectura original (Phase 1)
source_weights:    "Experiments/ojo_dr/yolo/yolo26n/finetuned/finetuned.pt"
teacher_weights:   "Experiments/ojo_dr/yolo/yolo26n/train/weights/best.pt"
output_dir:        "Experiments/ojo_dr/yolo/yolo26n/quantized"
data_path:      "Datasets/ojo_dr_binary_v1.0_20260422/split_data"
imgsz:     224
qat_batch: 32
qat_epochs:       15
qat_lr:           0.000005
qat_weight_decay: 0.0001
qat_optimizer:    "adamw"
qat_patience:     7
# Batches de warm-up para inicializar observers antes del entrenamiento QAT
calib_batches: 10
</t>
  </si>
  <si>
    <t>yolo26l_finetune_kd</t>
  </si>
  <si>
    <t>Experiments\ojo_dr\yolo\configs\yolo26l_finetune_kd.yaml</t>
  </si>
  <si>
    <t xml:space="preserve"># ── Fase 3: Fine-tuning (Knowledge Distillation) ──────────────────────────────
experiment_name:   "yolo26l_finetune_kd"
mlflow_experiment: "OjoDR_YOLO"
task:              "ojo_dr"
data_path:         "Datasets/ojo_dr_binary_v1.0/split_data"
source_weights:    "Experiments/ojo_dr/yolo/yolo26l/pruned/pruned.pt"
teacher_weights:   "Experiments/ojo_dr/yolo/yolo26l/train/weights/best.pt"
output_dir:        "Experiments/ojo_dr/yolo/yolo26l/finetuned"
imgsz:             224
ft_method:         "kd"
ft_epochs:         50
ft_batch:          64
ft_lr:             0.0005
ft_optimizer:      adamw
ft_weight_decay:   0.005
ft_patience:       10
kd_alpha:          0.5
kd_temperature:    4.0
</t>
  </si>
  <si>
    <t>yolo26l_imbalanced_focal</t>
  </si>
  <si>
    <t>Experiments\ojo_dr\yolo\configs\yolo26l_imbalanced_focal.yaml</t>
  </si>
  <si>
    <t>experiment_name:   "02_V_L_Data_Desbalanceado_Youden_02"
mlflow_experiment: "OjoDR_YOLO"
task:              "ojo_dr"
model:             "yolo26l-cls.yaml"
data_path:         "Datasets/ojo_dr_binary_v1.0/split_data"
output_dir:        "Experiments/ojo_dr/yolo/yolo26l/train"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</si>
  <si>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yolo26l_prune_taylor</t>
  </si>
  <si>
    <t>Experiments\ojo_dr\yolo\configs\yolo26l_prune_taylor.yaml</t>
  </si>
  <si>
    <t xml:space="preserve"># ── Fase 2: Pruning (Taylor) ──────────────────────────────────────────────────
experiment_name:   "yolo26l_prune_taylor"
mlflow_experiment: "OjoDR_YOLO"
task:              "ojo_dr"
data_path:         "Datasets/ojo_dr_binary_v1.0/split_data"
source_weights:    "Experiments/ojo_dr/yolo/yolo26l/train/weights/best.pt"
output_dir:        "Experiments/ojo_dr/yolo/yolo26l/pruned"
imgsz:             224
batch:             64
pruning_method:       "taylor"
pruning_ratio:        0.3
pruning_grad_batches: 10
</t>
  </si>
  <si>
    <t>yolo26l_quantize</t>
  </si>
  <si>
    <t>Experiments\ojo_dr\yolo\configs\yolo26l_quantize.yaml</t>
  </si>
  <si>
    <t xml:space="preserve"># ── Fase 4: Quantization (INT8 PTQ via ONNX) ──────────────────────────────────
experiment_name:   "yolo26l_quantize"
mlflow_experiment: "OjoDR_YOLO"
task:              "ojo_dr"
data_path:         "Datasets/ojo_dr_binary_v1.0/split_data"
source_weights:    "Experiments/ojo_dr/yolo/yolo26l/finetuned/finetuned.pt"
teacher_weights:   "Experiments/ojo_dr/yolo/yolo26l/train/weights/best.pt"
output_dir:        "Experiments/ojo_dr/yolo/yolo26l/quantized"
imgsz:             224
batch:             64
opset_version:     17
calibration_batches: 10
</t>
  </si>
  <si>
    <t>yolo26m_finetune_kd</t>
  </si>
  <si>
    <t>Experiments\ojo_dr\yolo\configs\yolo26m_finetune_kd.yaml</t>
  </si>
  <si>
    <t xml:space="preserve"># ── Fase 3: Fine-tuning (Knowledge Distillation) ──────────────────────────────
experiment_name:   "yolo26m_finetune_kd"
mlflow_experiment: "OjoDR_YOLO"
task:              "ojo_dr"
data_path:         "Datasets/ojo_dr_binary_v1.0/split_data"
source_weights:    "Experiments/ojo_dr/yolo/yolo26m/pruned/pruned.pt"
teacher_weights:   "Experiments/ojo_dr/yolo/yolo26m/train/weights/best.pt"
output_dir:        "Experiments/ojo_dr/yolo/yolo26m/finetuned"
imgsz:             224
ft_method:         "kd"
ft_epochs:         50
ft_batch:          64
ft_lr:             0.0005
ft_optimizer:      adamw
ft_weight_decay:   0.005
ft_patience:       10
kd_alpha:          0.5
kd_temperature:    4.0
</t>
  </si>
  <si>
    <t>yolo26m_imbalanced_focal</t>
  </si>
  <si>
    <t>Experiments\ojo_dr\yolo\configs\yolo26m_imbalanced_focal.yaml</t>
  </si>
  <si>
    <t>experiment_name:   "03_V_M_Data_Desbalanceado_Youden_03"
mlflow_experiment: "OjoDR_YOLO"
task:              "ojo_dr"
model:             "yolo26m-cls.yaml"
data_path:         "Datasets/ojo_dr_binary_v1.0/split_data"
output_dir:        "Experiments/ojo_dr/yolo/yolo26m/train"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</si>
  <si>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yolo26m_prune_taylor</t>
  </si>
  <si>
    <t>Experiments\ojo_dr\yolo\configs\yolo26m_prune_taylor.yaml</t>
  </si>
  <si>
    <t xml:space="preserve"># ── Fase 2: Pruning (Taylor) ──────────────────────────────────────────────────
experiment_name:   "yolo26m_prune_taylor"
mlflow_experiment: "OjoDR_YOLO"
task:              "ojo_dr"
data_path:         "Datasets/ojo_dr_binary_v1.0/split_data"
source_weights:    "Experiments/ojo_dr/yolo/yolo26m/train/weights/best.pt"
output_dir:        "Experiments/ojo_dr/yolo/yolo26m/pruned"
imgsz:             224
batch:             64
pruning_method:       "taylor"
pruning_ratio:        0.3
pruning_grad_batches: 10
</t>
  </si>
  <si>
    <t>yolo26m_quantize</t>
  </si>
  <si>
    <t>Experiments\ojo_dr\yolo\configs\yolo26m_quantize.yaml</t>
  </si>
  <si>
    <t xml:space="preserve"># ── Fase 4: Quantization (INT8 PTQ via ONNX) ──────────────────────────────────
experiment_name:   "yolo26m_quantize"
mlflow_experiment: "OjoDR_YOLO"
task:              "ojo_dr"
data_path:         "Datasets/ojo_dr_binary_v1.0/split_data"
source_weights:    "Experiments/ojo_dr/yolo/yolo26m/finetuned/finetuned.pt"
teacher_weights:   "Experiments/ojo_dr/yolo/yolo26m/train/weights/best.pt"
output_dir:        "Experiments/ojo_dr/yolo/yolo26m/quantized"
imgsz:             224
batch:             64
opset_version:     17
calibration_batches: 10
</t>
  </si>
  <si>
    <t>yolo26n_finetune_kd</t>
  </si>
  <si>
    <t>Experiments\ojo_dr\yolo\configs\yolo26n_finetune_kd.yaml</t>
  </si>
  <si>
    <t xml:space="preserve"># ── Fase 3: Fine-tuning (Knowledge Distillation) ──────────────────────────────
experiment_name:   "yolo26n_finetune_kd"
mlflow_experiment: "OjoDR_YOLO"
task:              "ojo_dr"
data_path:         "Datasets/ojo_dr_binary_v1.0/split_data"
source_weights:    "Experiments/ojo_dr/yolo/yolo26n/pruned/pruned.pt"
teacher_weights:   "Experiments/ojo_dr/yolo/yolo26n/train/weights/best.pt"
output_dir:        "Experiments/ojo_dr/yolo/yolo26n/finetuned"
imgsz:             224
ft_method:         "kd"
ft_epochs:         50
ft_batch:          64
ft_lr:             0.001
ft_optimizer:      adamw
ft_weight_decay:   0.001
ft_patience:       10
kd_alpha:          0.5
kd_temperature:    4.0
</t>
  </si>
  <si>
    <t>yolo26n_imbalanced_focal</t>
  </si>
  <si>
    <t>Experiments\ojo_dr\yolo\configs\yolo26n_imbalanced_focal.yaml</t>
  </si>
  <si>
    <t>experiment_name:   "05_V_ N_Data_Desbanlanceado_Youden_05"
mlflow_experiment: "OjoDR_YOLO"
task:              "ojo_dr"
model:             "yolo26n-cls.yaml"
data_path:         "Datasets/ojo_dr_binary_v1.0/split_data"
output_dir:        "Experiments/ojo_dr/yolo/yolo26n/train"
pretrained:   false
amp:          false
epochs:       50
batch:        64
imgsz:        224
patience:     0      # deshabilitado: accuracy no es buena metrica con desbalance 89/11
lr0:          0.001
lrf:          0.01
cos_lr:       true
dropout:      0.2
optimizer:    AdamW
weight_decay: 0.001
# Class weights con penalidad suave (0.3 ~ 2x en lugar de 8x completo)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</si>
  <si>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yolo26n_prune_taylor</t>
  </si>
  <si>
    <t>Experiments\ojo_dr\yolo\configs\yolo26n_prune_taylor.yaml</t>
  </si>
  <si>
    <t xml:space="preserve"># ── Fase 2: Pruning (Taylor) ──────────────────────────────────────────────────
experiment_name:   "yolo26n_prune_taylor"
mlflow_experiment: "OjoDR_YOLO"
task:              "ojo_dr"
data_path:         "Datasets/ojo_dr_binary_v1.0/split_data"
source_weights:    "Experiments/ojo_dr/yolo/yolo26n/train/weights/best.pt"
output_dir:        "Experiments/ojo_dr/yolo/yolo26n/pruned"
imgsz:             224
batch:             64
pruning_method:       "taylor"
pruning_ratio:        0.3
pruning_grad_batches: 10
</t>
  </si>
  <si>
    <t>yolo26n_quantize</t>
  </si>
  <si>
    <t>Experiments\ojo_dr\yolo\configs\yolo26n_quantize.yaml</t>
  </si>
  <si>
    <t xml:space="preserve"># ── Fase 4: Quantization (INT8 PTQ via ONNX) ──────────────────────────────────
experiment_name:   "yolo26n_quantize"
mlflow_experiment: "OjoDR_YOLO"
task:              "ojo_dr"
data_path:         "Datasets/ojo_dr_binary_v1.0/split_data"
source_weights:    "Experiments/ojo_dr/yolo/yolo26n/finetuned/finetuned.pt"
teacher_weights:   "Experiments/ojo_dr/yolo/yolo26n/train/weights/best.pt"
output_dir:        "Experiments/ojo_dr/yolo/yolo26n/quantized"
imgsz:             224
batch:             64
opset_version:     17
calibration_batches: 10
</t>
  </si>
  <si>
    <t>yolo26s_finetune_kd</t>
  </si>
  <si>
    <t>Experiments\ojo_dr\yolo\configs\yolo26s_finetune_kd.yaml</t>
  </si>
  <si>
    <t xml:space="preserve"># ── Fase 3: Fine-tuning (Knowledge Distillation) ──────────────────────────────
experiment_name:   "yolo26s_finetune_kd"
mlflow_experiment: "OjoDR_YOLO"
task:              "ojo_dr"
data_path:         "Datasets/ojo_dr_binary_v1.0/split_data"
source_weights:    "Experiments/ojo_dr/yolo/yolo26s/pruned/pruned.pt"
teacher_weights:   "Experiments/ojo_dr/yolo/yolo26s/train/weights/best.pt"
output_dir:        "Experiments/ojo_dr/yolo/yolo26s/finetuned"
imgsz:             224
ft_method:         "kd"
ft_epochs:         50
ft_batch:          64
ft_lr:             0.0005
ft_optimizer:      adamw
ft_weight_decay:   0.005
ft_patience:       10
kd_alpha:          0.5
kd_temperature:    4.0
</t>
  </si>
  <si>
    <t>yolo26s_imbalanced_focal</t>
  </si>
  <si>
    <t>Experiments\ojo_dr\yolo\configs\yolo26s_imbalanced_focal.yaml</t>
  </si>
  <si>
    <t>experiment_name:   "04_V_S_Data_Desbalanceado_Youden_04"
mlflow_experiment: "OjoDR_YOLO"
task:              "ojo_dr"
model:             "yolo26s-cls.yaml"
data_path:         "Datasets/ojo_dr_binary_v1.0/split_data"
output_dir:        "Experiments/ojo_dr/yolo/yolo26s/train"
pretrained:   false
amp:          false
epochs:       50
batch:        64      
imgsz:        224
patience:     0
lr0:          0.0005
lrf:          0.01
cos_lr:       true
dropout:      0.4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</si>
  <si>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yolo26s_prune_taylor</t>
  </si>
  <si>
    <t>Experiments\ojo_dr\yolo\configs\yolo26s_prune_taylor.yaml</t>
  </si>
  <si>
    <t xml:space="preserve"># ── Fase 2: Pruning (Taylor) ──────────────────────────────────────────────────
experiment_name:   "yolo26s_prune_taylor"
mlflow_experiment: "OjoDR_YOLO"
task:              "ojo_dr"
data_path:         "Datasets/ojo_dr_binary_v1.0/split_data"
source_weights:    "Experiments/ojo_dr/yolo/yolo26s/train/weights/best.pt"
output_dir:        "Experiments/ojo_dr/yolo/yolo26s/pruned"
imgsz:             224
batch:             64
pruning_method:       "taylor"
pruning_ratio:        0.3
pruning_grad_batches: 10
</t>
  </si>
  <si>
    <t>yolo26s_quantize</t>
  </si>
  <si>
    <t>Experiments\ojo_dr\yolo\configs\yolo26s_quantize.yaml</t>
  </si>
  <si>
    <t xml:space="preserve"># ── Fase 4: Quantization (INT8 PTQ via ONNX) ──────────────────────────────────
experiment_name:   "yolo26s_quantize"
mlflow_experiment: "OjoDR_YOLO"
task:              "ojo_dr"
data_path:         "Datasets/ojo_dr_binary_v1.0/split_data"
source_weights:    "Experiments/ojo_dr/yolo/yolo26s/finetuned/finetuned.pt"
teacher_weights:   "Experiments/ojo_dr/yolo/yolo26s/train/weights/best.pt"
output_dir:        "Experiments/ojo_dr/yolo/yolo26s/quantized"
imgsz:             224
batch:             64
opset_version:     17
calibration_batches: 10
</t>
  </si>
  <si>
    <t>yolo26x_finetune_kd</t>
  </si>
  <si>
    <t>Experiments\ojo_dr\yolo\configs\yolo26x_finetune_kd.yaml</t>
  </si>
  <si>
    <t xml:space="preserve"># ── Fase 3: Fine-tuning (Knowledge Distillation) ──────────────────────────────
experiment_name:   "yolo26x_finetune_kd"
mlflow_experiment: "OjoDR_YOLO"
task:              "ojo_dr"
data_path:         "Datasets/ojo_dr_binary_v1.0/split_data"
source_weights:    "Experiments/ojo_dr/yolo/yolo26x/pruned/pruned.pt"
teacher_weights:   "Experiments/ojo_dr/yolo/yolo26x/train/weights/best.pt"
output_dir:        "Experiments/ojo_dr/yolo/yolo26x/finetuned"
imgsz:             224
ft_method:         "kd"
ft_epochs:         50
ft_batch:          64
ft_lr:             0.0005
ft_optimizer:      adamw
ft_weight_decay:   0.005
ft_patience:       10
kd_alpha:          0.5
kd_temperature:    4.0
</t>
  </si>
  <si>
    <t>yolo26x_imbalanced_focal</t>
  </si>
  <si>
    <t>Experiments\ojo_dr\yolo\configs\yolo26x_imbalanced_focal.yaml</t>
  </si>
  <si>
    <t>experiment_name:   "01_V_X_Data_Desbalanceado_Youden_01"
mlflow_experiment: "OjoDR_YOLO"
task:              "ojo_dr"
model:             "yolo26x-cls.yaml"
data_path:         "Datasets/ojo_dr_binary_v1.0/split_data"
output_dir:        "Experiments/ojo_dr/yolo/yolo26x/train"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</si>
  <si>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yolo26x_prune_taylor</t>
  </si>
  <si>
    <t>Experiments\ojo_dr\yolo\configs\yolo26x_prune_taylor.yaml</t>
  </si>
  <si>
    <t xml:space="preserve"># ── Fase 2: Pruning (Taylor) ──────────────────────────────────────────────────
experiment_name:   "yolo26x_prune_taylor"
mlflow_experiment: "OjoDR_YOLO"
task:              "ojo_dr"
data_path:         "Datasets/ojo_dr_binary_v1.0/split_data"
source_weights:    "Experiments/ojo_dr/yolo/yolo26x/train/weights/best.pt"
output_dir:        "Experiments/ojo_dr/yolo/yolo26x/pruned"
imgsz:             224
batch:             64
pruning_method:       "taylor"
pruning_ratio:        0.3
pruning_grad_batches: 10
</t>
  </si>
  <si>
    <t>yolo26x_quantize</t>
  </si>
  <si>
    <t>Experiments\ojo_dr\yolo\configs\yolo26x_quantize.yaml</t>
  </si>
  <si>
    <t xml:space="preserve"># ── Fase 4: Quantization (INT8 PTQ via ONNX) ──────────────────────────────────
experiment_name:   "yolo26x_quantize"
mlflow_experiment: "OjoDR_YOLO"
task:              "ojo_dr"
data_path:         "Datasets/ojo_dr_binary_v1.0/split_data"
source_weights:    "Experiments/ojo_dr/yolo/yolo26x/finetuned/finetuned.pt"
teacher_weights:   "Experiments/ojo_dr/yolo/yolo26x/train/weights/best.pt"
output_dir:        "Experiments/ojo_dr/yolo/yolo26x/quantized"
imgsz:             224
batch:             64
opset_version:     17
calibration_batches: 10
</t>
  </si>
  <si>
    <t>oral_cancer</t>
  </si>
  <si>
    <t>scratch</t>
  </si>
  <si>
    <t>Experiments\oral_cancer\efficientnetv2\configs\scratch.yaml</t>
  </si>
  <si>
    <t>experiment_name:   "01_efficientnetv2_scratch"
mlflow_experiment: "OralCancer_EfficientNetV2"
task:              "oral_cancer"
model_name:        "tf_efficientnetv2_s"
data_path:         "ClasificacionOralCancer/Dataset/data/train/oral_cancer_binary_v1.0_20260506/split_data"
output_dir:        "Experiments/oral_cancer/efficientnetv2/efficientnetv2_s/train"
num_classes: 2
epochs:      50
batch:       32
imgsz:       224
patience:    15
lr:          0.0001
fliplr:     0.5
flipud:     0.5
degrees:    90
brightness: 0.35
contrast:   0.3
saturation: 0.40
hue:        0.02
translate:  0.1
scale:      0.35
erasing:    0.3</t>
  </si>
  <si>
    <t>Experiments\oral_cancer\mobilenetv4\configs\scratch.yaml</t>
  </si>
  <si>
    <t>experiment_name:   "01_mobilenetv4_scratch"
mlflow_experiment: "OralCancer_MobileNetV4"
task:              "oral_cancer"
model_name:        "mobilenetv4_conv_small.e2400_r224_in1k"
data_path:         "ClasificacionOralCancer/Dataset/data/train/oral_cancer_binary_v1.0_20260506/split_data"
output_dir:        "Experiments/oral_cancer/mobilenetv4/mobilenetv4_conv_small/train"
num_classes: 2
epochs:      50
batch:       64
imgsz:       224
patience:    15
lr:          0.0001
fliplr:     0.5
flipud:     0.5
degrees:    90
brightness: 0.35
contrast:   0.3
saturation: 0.40
hue:        0.02
translate:  0.1
scale:      0.35
erasing:    0.3</t>
  </si>
  <si>
    <t>finetune_kd</t>
  </si>
  <si>
    <t>Experiments\oral_cancer\yolo\configs\finetune_kd.yaml</t>
  </si>
  <si>
    <t xml:space="preserve">experiment_name:   "03_finetune_kd"
mlflow_experiment: "OralCancer_YOLO"
task:              "oral_cancer"
source_weights:    "Experiments/oral_cancer/yolo/yolo26n/pruned/pruned.pt"
teacher_weights:   "Experiments/oral_cancer/yolo/yolo26n/train/weights/best.pt"
output_dir:        "Experiments/oral_cancer/yolo/yolo26n/finetuned"
data_path:       "ClasificacionOralCancer/Dataset/data/train/oral_cancer_binary_v1.0_20260506/split_data"
imgsz:    224
ft_batch: 32
ft_method:       "kd"
ft_epochs:       50
ft_lr:           0.00005
ft_weight_decay: 0.0001
ft_optimizer:    "adamw"
ft_patience:     10
kd_alpha:       0.7
kd_temperature: 4.0
</t>
  </si>
  <si>
    <t>finetune_scheduler</t>
  </si>
  <si>
    <t>Experiments\oral_cancer\yolo\configs\finetune_scheduler.yaml</t>
  </si>
  <si>
    <t xml:space="preserve">experiment_name:   "03_finetune_scheduler"
mlflow_experiment: "OralCancer_YOLO"
task:              "oral_cancer"
source_weights:    "Experiments/oral_cancer/yolo/yolo26n/pruned/pruned.pt"
teacher_weights:   "Experiments/oral_cancer/yolo/yolo26n/train/weights/best.pt"
output_dir:        "Experiments/oral_cancer/yolo/yolo26n/finetuned"
data_path:       "ClasificacionOralCancer/Dataset/data/train/oral_cancer_binary_v1.0_20260506/split_data"
imgsz:    224
ft_batch: 32
ft_method:       "scheduler"
ft_epochs:       50
ft_lr:           0.00005
ft_weight_decay: 0.0001
ft_optimizer:    "adamw"
ft_patience:     10
</t>
  </si>
  <si>
    <t>prune_magnitude</t>
  </si>
  <si>
    <t>Experiments\oral_cancer\yolo\configs\prune_magnitude.yaml</t>
  </si>
  <si>
    <t xml:space="preserve">experiment_name:   "02_prune_magnitude"
mlflow_experiment: "OralCancer_YOLO"
task:              "oral_cancer"
source_weights:    "Experiments/oral_cancer/yolo/yolo26n/train/weights/best.pt"
output_dir:        "Experiments/oral_cancer/yolo/yolo26n/pruned"
data_path:      "ClasificacionOralCancer/Dataset/data/train/oral_cancer_binary_v1.0_20260506/split_data"
imgsz: 224
batch: 32
pruning_method: "magnitude"
pruning_ratio:  0.3
</t>
  </si>
  <si>
    <t>prune_taylor</t>
  </si>
  <si>
    <t>Experiments\oral_cancer\yolo\configs\prune_taylor.yaml</t>
  </si>
  <si>
    <t xml:space="preserve">experiment_name:   "02_prune_taylor"
mlflow_experiment: "OralCancer_YOLO"
task:              "oral_cancer"
source_weights:    "Experiments/oral_cancer/yolo/yolo26n/train/weights/best.pt"
output_dir:        "Experiments/oral_cancer/yolo/yolo26n/pruned"
data_path:      "ClasificacionOralCancer/Dataset/data/train/oral_cancer_binary_v1.0_20260506/split_data"
imgsz: 224
batch: 32
pruning_method:       "taylor"
pruning_ratio:        0.3
pruning_grad_batches: 10
</t>
  </si>
  <si>
    <t>yolo26n_scratch</t>
  </si>
  <si>
    <t>Experiments\oral_cancer\yolo\configs\yolo26n_scratch.yaml</t>
  </si>
  <si>
    <t>experiment_name:   "02_yolo26n_scratch"
mlflow_experiment: "OralCancer_YOLO"
task:              "oral_cancer"
model:             "yolo26n-cls.yaml"
data_path:         "ClasificacionOralCancer/Dataset/data/train/oral_cancer_binary_v1.0_20260506/split_data"
output_dir:        "Experiments/oral_cancer/yolo/yolo26n/train"
pretrained: false
epochs:     100
batch:    32
imgsz:    224
patience: 15
workers:  2
hsv_h:       0.01
hsv_s:       0.25
hsv_v:       0.25
fliplr:      0.5
flipud:      0.5
degrees:     90
scale:       0.2
erasing:     0.3
mosaic:      0.0
perspective: 0.0
shear:       0.0</t>
  </si>
  <si>
    <t>Experiments\oral_cancer_v2\efficientnetv2\configs\efficientnetv2_s.yaml</t>
  </si>
  <si>
    <t xml:space="preserve"># ── Identificación ────────────────────────────────────────────────────────────
experiment_name:   "effv2_s_imbalanced_focal"
mlflow_experiment: "OralCancerV2_EfficientNetV2"
task:              "oral_cancer_v2"
positive_class: "oral_cancer"
data_path:         "Datasets/oral_cancer_v2_binary_v1.0/split_data"
output_dir:        "Experiments/oral_cancer_v2/efficientnetv2/effv2_s/train"
# ── Modelo (timm) ─────────────────────────────────────────────────────────────
model_name:   "tf_efficientnetv2_s"
pretrained:   false
dropout:      0.4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</si>
  <si>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Experiments\oral_cancer_v2\efficientnetv2\configs\efficientnetv2_s_finetune_kd.yaml</t>
  </si>
  <si>
    <t xml:space="preserve"># ── Fase 3: Fine-tuning (Knowledge Distillation) ──────────────────────────────
experiment_name:   "effv2_s_finetune_kd"
mlflow_experiment: "OralCancerV2_EfficientNetV2"
task:              "oral_cancer_v2"
positive_class: "oral_cancer"
data_path:         "Datasets/oral_cancer_v2_binary_v1.0/split_data"
source_weights:    "Experiments/oral_cancer_v2/efficientnetv2/effv2_s/pruned/pruned.pt"
teacher_weights:   "Experiments/oral_cancer_v2/efficientnetv2/effv2_s/train/best.pt"
output_dir:        "Experiments/oral_cancer_v2/efficientnetv2/effv2_s/finetuned"
imgsz:             224
dropout:           0.4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</si>
  <si>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Experiments\oral_cancer_v2\efficientnetv2\configs\efficientnetv2_s_prune_taylor.yaml</t>
  </si>
  <si>
    <t xml:space="preserve"># ── Fase 2: Pruning (Taylor) ──────────────────────────────────────────────────
experiment_name:   "effv2_s_prune_taylor"
mlflow_experiment: "OralCancerV2_EfficientNetV2"
task:              "oral_cancer_v2"
positive_class: "oral_cancer"
data_path:         "Datasets/oral_cancer_v2_binary_v1.0/split_data"
source_weights:    "Experiments/oral_cancer_v2/efficientnetv2/effv2_s/train/best.pt"
output_dir:        "Experiments/oral_cancer_v2/efficientnetv2/effv2_s/pruned"
imgsz:             224
batch:             64
pruning_method:       "taylor"     # taylor | magnitude
pruning_ratio:        0.3
pruning_grad_batches: 10
</t>
  </si>
  <si>
    <t>Experiments\oral_cancer_v2\efficientnetv2\configs\efficientnetv2_s_quantize.yaml</t>
  </si>
  <si>
    <t xml:space="preserve"># ── Fase 4: Quantization (INT8 PTQ via ONNX) ──────────────────────────────────
experiment_name:   "effv2_s_quantize"
mlflow_experiment: "OralCancerV2_EfficientNetV2"
task:              "oral_cancer_v2"
positive_class: "oral_cancer"
data_path:         "Datasets/oral_cancer_v2_binary_v1.0/split_data"
source_weights:    "Experiments/oral_cancer_v2/efficientnetv2/effv2_s/finetuned/finetuned.pt"
output_dir:        "Experiments/oral_cancer_v2/efficientnetv2/effv2_s/quantized"
imgsz:             224
batch:             64
opset_version:     17
calibration_batches: 10
</t>
  </si>
  <si>
    <t>Experiments\oral_cancer_v2\mobilenetv4\configs\mobilenetv4_conv_large.yaml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</si>
  <si>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"mnv4_conv_large_imbalanced_focal"
mlflow_experiment: "OralCancerV2_MobileNetV4"
task:              "oral_cancer_v2"
positive_class: "oral_cancer"
data_path:         "Datasets/oral_cancer_v2_binary_v1.0/split_data"
output_dir:        "Experiments/oral_cancer_v2/mobilenetv4/mnv4_conv_large/train"
# ── Modelo (timm) ─────────────────────────────────────────────────────────────
model_name:   "mobilenetv4_conv_large"
pretrained:   false
dropout:      0.5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</si>
  <si>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Experiments\oral_cancer_v2\mobilenetv4\configs\mobilenetv4_conv_large_finetune_kd.yaml</t>
  </si>
  <si>
    <t xml:space="preserve"># ── Fase 3: Fine-tuning (Knowledge Distillation) ──────────────────────────────
experiment_name:   "mnv4_conv_large_finetune_kd"
mlflow_experiment: "OralCancerV2_MobileNetV4"
task:              "oral_cancer_v2"
positive_class: "oral_cancer"
data_path:         "Datasets/oral_cancer_v2_binary_v1.0/split_data"
source_weights:    "Experiments/oral_cancer_v2/mobilenetv4/mnv4_conv_large/pruned/pruned.pt"
teacher_weights:   "Experiments/oral_cancer_v2/mobilenetv4/mnv4_conv_large/train/best.pt"
output_dir:        "Experiments/oral_cancer_v2/mobilenetv4/mnv4_conv_large/finetuned"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</si>
  <si>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Experiments\oral_cancer_v2\mobilenetv4\configs\mobilenetv4_conv_large_prune_taylor.yaml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</si>
  <si>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"mnv4_conv_large_prune_taylor"
mlflow_experiment: "OralCancerV2_MobileNetV4"
task:              "oral_cancer_v2"
positive_class: "oral_cancer"
data_path:         "Datasets/oral_cancer_v2_binary_v1.0/split_data"
source_weights:    "Experiments/oral_cancer_v2/mobilenetv4/mnv4_conv_large/train/best.pt"
output_dir:        "Experiments/oral_cancer_v2/mobilenetv4/mnv4_conv_large/pruned"
imgsz:             224
batch:             64
pruning_method:       "taylor"     # taylor | magnitude
pruning_ratio:        0.3
pruning_grad_batches: 10
</t>
  </si>
  <si>
    <t>Experiments\oral_cancer_v2\mobilenetv4\configs\mobilenetv4_conv_large_quantize.yaml</t>
  </si>
  <si>
    <t xml:space="preserve"># ── Fase 4: Quantization (INT8 PTQ via ONNX) ──────────────────────────────────
experiment_name:   "mnv4_conv_large_quantize"
mlflow_experiment: "OralCancerV2_MobileNetV4"
task:              "oral_cancer_v2"
positive_class: "oral_cancer"
data_path:         "Datasets/oral_cancer_v2_binary_v1.0/split_data"
source_weights:    "Experiments/oral_cancer_v2/mobilenetv4/mnv4_conv_large/finetuned/finetuned.pt"
output_dir:        "Experiments/oral_cancer_v2/mobilenetv4/mnv4_conv_large/quantized"
imgsz:             224
batch:             64
opset_version:     17
calibration_batches: 10
</t>
  </si>
  <si>
    <t>Experiments\oral_cancer_v2\mobilenetv4\configs\mobilenetv4_conv_medium.yaml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</si>
  <si>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"mnv4_conv_medium_imbalanced_focal"
mlflow_experiment: "OralCancerV2_MobileNetV4"
task:              "oral_cancer_v2"
positive_class: "oral_cancer"
data_path:         "Datasets/oral_cancer_v2_binary_v1.0/split_data"
output_dir:        "Experiments/oral_cancer_v2/mobilenetv4/mnv4_conv_medium/train"
# ── Modelo (timm) ─────────────────────────────────────────────────────────────
model_name:   "mobilenetv4_conv_medium"
pretrained:   false
dropout:      0.4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</si>
  <si>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Experiments\oral_cancer_v2\mobilenetv4\configs\mobilenetv4_conv_medium_finetune_kd.yaml</t>
  </si>
  <si>
    <t xml:space="preserve"># ── Fase 3: Fine-tuning (Knowledge Distillation) ──────────────────────────────
experiment_name:   "mnv4_conv_medium_finetune_kd"
mlflow_experiment: "OralCancerV2_MobileNetV4"
task:              "oral_cancer_v2"
positive_class: "oral_cancer"
data_path:         "Datasets/oral_cancer_v2_binary_v1.0/split_data"
source_weights:    "Experiments/oral_cancer_v2/mobilenetv4/mnv4_conv_medium/pruned/pruned.pt"
teacher_weights:   "Experiments/oral_cancer_v2/mobilenetv4/mnv4_conv_medium/train/best.pt"
output_dir:        "Experiments/oral_cancer_v2/mobilenetv4/mnv4_conv_medium/finetuned"
imgsz:             224
dropout:           0.4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</si>
  <si>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Experiments\oral_cancer_v2\mobilenetv4\configs\mobilenetv4_conv_medium_prune_taylor.yaml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</si>
  <si>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"mnv4_conv_medium_prune_taylor"
mlflow_experiment: "OralCancerV2_MobileNetV4"
task:              "oral_cancer_v2"
positive_class: "oral_cancer"
data_path:         "Datasets/oral_cancer_v2_binary_v1.0/split_data"
source_weights:    "Experiments/oral_cancer_v2/mobilenetv4/mnv4_conv_medium/train/best.pt"
output_dir:        "Experiments/oral_cancer_v2/mobilenetv4/mnv4_conv_medium/pruned"
imgsz:             224
batch:             64
pruning_method:       "taylor"     # taylor | magnitude
pruning_ratio:        0.3
pruning_grad_batches: 10
</t>
  </si>
  <si>
    <t>Experiments\oral_cancer_v2\mobilenetv4\configs\mobilenetv4_conv_medium_quantize.yaml</t>
  </si>
  <si>
    <t xml:space="preserve"># ── Fase 4: Quantization (INT8 PTQ via ONNX) ──────────────────────────────────
experiment_name:   "mnv4_conv_medium_quantize"
mlflow_experiment: "OralCancerV2_MobileNetV4"
task:              "oral_cancer_v2"
positive_class: "oral_cancer"
data_path:         "Datasets/oral_cancer_v2_binary_v1.0/split_data"
source_weights:    "Experiments/oral_cancer_v2/mobilenetv4/mnv4_conv_medium/finetuned/finetuned.pt"
output_dir:        "Experiments/oral_cancer_v2/mobilenetv4/mnv4_conv_medium/quantized"
imgsz:             224
batch:             64
opset_version:     17
calibration_batches: 10
</t>
  </si>
  <si>
    <t>Experiments\oral_cancer_v2\mobilenetv4\configs\mobilenetv4_conv_small.yaml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</si>
  <si>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"mnv4_conv_small_imbalanced_focal"
mlflow_experiment: "OralCancerV2_MobileNetV4"
task:              "oral_cancer_v2"
positive_class: "oral_cancer"
data_path:         "Datasets/oral_cancer_v2_binary_v1.0/split_data"
output_dir:        "Experiments/oral_cancer_v2/mobilenetv4/mnv4_conv_small/train"
# ── Modelo (timm) ─────────────────────────────────────────────────────────────
model_name:   "mobilenetv4_conv_small"
pretrained:   false
dropout:      0.2
# ── Entrenamiento ─────────────────────────────────────────────────────────────
epochs:       50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0.001
weight_decay: 0.001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</si>
  <si>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Experiments\oral_cancer_v2\mobilenetv4\configs\mobilenetv4_conv_small_finetune_kd.yaml</t>
  </si>
  <si>
    <t xml:space="preserve"># ── Fase 3: Fine-tuning (Knowledge Distillation) ──────────────────────────────
experiment_name:   "mnv4_conv_small_finetune_kd"
mlflow_experiment: "OralCancerV2_MobileNetV4"
task:              "oral_cancer_v2"
positive_class: "oral_cancer"
data_path:         "Datasets/oral_cancer_v2_binary_v1.0/split_data"
source_weights:    "Experiments/oral_cancer_v2/mobilenetv4/mnv4_conv_small/pruned/pruned.pt"
teacher_weights:   "Experiments/oral_cancer_v2/mobilenetv4/mnv4_conv_small/train/best.pt"
output_dir:        "Experiments/oral_cancer_v2/mobilenetv4/mnv4_conv_small/finetuned"
imgsz:             224
dropout:           0.2
ft_method:         "kd"            # kd | scheduler
ft_epochs:         50
ft_batch:          64
ft_lr:             0.001
ft_optimizer:      adamw
ft_weight_decay:   0.001
ft_patience:       10
kd_alpha:          0.5
kd_temperature:    4.0
</t>
  </si>
  <si>
    <t>Experiments\oral_cancer_v2\mobilenetv4\configs\mobilenetv4_conv_small_prune_taylor.yaml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</si>
  <si>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"mnv4_conv_small_prune_taylor"
mlflow_experiment: "OralCancerV2_MobileNetV4"
task:              "oral_cancer_v2"
positive_class: "oral_cancer"
data_path:         "Datasets/oral_cancer_v2_binary_v1.0/split_data"
source_weights:    "Experiments/oral_cancer_v2/mobilenetv4/mnv4_conv_small/train/best.pt"
output_dir:        "Experiments/oral_cancer_v2/mobilenetv4/mnv4_conv_small/pruned"
imgsz:             224
batch:             64
pruning_method:       "taylor"     # taylor | magnitude
pruning_ratio:        0.3
pruning_grad_batches: 10
</t>
  </si>
  <si>
    <t>Experiments\oral_cancer_v2\mobilenetv4\configs\mobilenetv4_conv_small_quantize.yaml</t>
  </si>
  <si>
    <t xml:space="preserve"># ── Fase 4: Quantization (INT8 PTQ via ONNX) ──────────────────────────────────
experiment_name:   "mnv4_conv_small_quantize"
mlflow_experiment: "OralCancerV2_MobileNetV4"
task:              "oral_cancer_v2"
positive_class: "oral_cancer"
data_path:         "Datasets/oral_cancer_v2_binary_v1.0/split_data"
source_weights:    "Experiments/oral_cancer_v2/mobilenetv4/mnv4_conv_small/finetuned/finetuned.pt"
output_dir:        "Experiments/oral_cancer_v2/mobilenetv4/mnv4_conv_small/quantized"
imgsz:             224
batch:             64
opset_version:     17
calibration_batches: 10
</t>
  </si>
  <si>
    <t>Experiments\oral_cancer_v2\yolo\configs\qat.yaml</t>
  </si>
  <si>
    <t xml:space="preserve">experiment_name:   "04_qat"
mlflow_experiment: "OralCancerV2_YOLO"
task:              "oral_cancer_v2"
# Pesos del modelo fine-tuned (Phase 3) y arquitectura original (Phase 1)
source_weights:    "Experiments/oral_cancer_v2/yolo/yolo26n/finetuned/finetuned.pt"
teacher_weights:   "Experiments/oral_cancer_v2/yolo/yolo26n/train/weights/best.pt"
output_dir:        "Experiments/oral_cancer_v2/yolo/yolo26n/quantized"
data_path:      "Datasets/oral_cancer_v2_binary_v1.0_20260422/split_data"
imgsz:     224
qat_batch: 32
qat_epochs:       15
qat_lr:           0.000005
qat_weight_decay: 0.0001
qat_optimizer:    "adamw"
qat_patience:     7
# Batches de warm-up para inicializar observers antes del entrenamiento QAT
calib_batches: 10
</t>
  </si>
  <si>
    <t>Experiments\oral_cancer_v2\yolo\configs\yolo26l_finetune_kd.yaml</t>
  </si>
  <si>
    <t xml:space="preserve"># ── Fase 3: Fine-tuning (Knowledge Distillation) ──────────────────────────────
experiment_name:   "yolo26l_finetune_kd"
mlflow_experiment: "OralCancerV2_YOLO"
task:              "oral_cancer_v2"
data_path:         "Datasets/oral_cancer_v2_binary_v1.0/split_data"
source_weights:    "Experiments/oral_cancer_v2/yolo/yolo26l/pruned/pruned.pt"
teacher_weights:   "Experiments/oral_cancer_v2/yolo/yolo26l/train/weights/best.pt"
output_dir:        "Experiments/oral_cancer_v2/yolo/yolo26l/finetuned"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</si>
  <si>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Experiments\oral_cancer_v2\yolo\configs\yolo26l_imbalanced_focal.yaml</t>
  </si>
  <si>
    <t>experiment_name:   "02_V_L_Data_Desbalanceado_Youden_02"
mlflow_experiment: "OralCancerV2_YOLO"
task:              "oral_cancer_v2"
model:             "yolo26l-cls.yaml"
data_path:         "Datasets/oral_cancer_v2_binary_v1.0/split_data"
output_dir:        "Experiments/oral_cancer_v2/yolo/yolo26l/train"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</si>
  <si>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Experiments\oral_cancer_v2\yolo\configs\yolo26l_prune_taylor.yaml</t>
  </si>
  <si>
    <t xml:space="preserve"># ── Fase 2: Pruning (Taylor) ──────────────────────────────────────────────────
experiment_name:   "yolo26l_prune_taylor"
mlflow_experiment: "OralCancerV2_YOLO"
task:              "oral_cancer_v2"
data_path:         "Datasets/oral_cancer_v2_binary_v1.0/split_data"
source_weights:    "Experiments/oral_cancer_v2/yolo/yolo26l/train/weights/best.pt"
output_dir:        "Experiments/oral_cancer_v2/yolo/yolo26l/pruned"
imgsz:             224
batch:             64
pruning_method:       "taylor"
pruning_ratio:        0.3
pruning_grad_batches: 10
</t>
  </si>
  <si>
    <t>Experiments\oral_cancer_v2\yolo\configs\yolo26l_quantize.yaml</t>
  </si>
  <si>
    <t xml:space="preserve"># ── Fase 4: Quantization (INT8 PTQ via ONNX) ──────────────────────────────────
experiment_name:   "yolo26l_quantize"
mlflow_experiment: "OralCancerV2_YOLO"
task:              "oral_cancer_v2"
data_path:         "Datasets/oral_cancer_v2_binary_v1.0/split_data"
source_weights:    "Experiments/oral_cancer_v2/yolo/yolo26l/finetuned/finetuned.pt"
teacher_weights:   "Experiments/oral_cancer_v2/yolo/yolo26l/train/weights/best.pt"
output_dir:        "Experiments/oral_cancer_v2/yolo/yolo26l/quantized"
imgsz:             224
batch:             64
opset_version:     17
calibration_batches: 10
</t>
  </si>
  <si>
    <t>Experiments\oral_cancer_v2\yolo\configs\yolo26m_finetune_kd.yaml</t>
  </si>
  <si>
    <t xml:space="preserve"># ── Fase 3: Fine-tuning (Knowledge Distillation) ──────────────────────────────
experiment_name:   "yolo26m_finetune_kd"
mlflow_experiment: "OralCancerV2_YOLO"
task:              "oral_cancer_v2"
data_path:         "Datasets/oral_cancer_v2_binary_v1.0/split_data"
source_weights:    "Experiments/oral_cancer_v2/yolo/yolo26m/pruned/pruned.pt"
teacher_weights:   "Experiments/oral_cancer_v2/yolo/yolo26m/train/weights/best.pt"
output_dir:        "Experiments/oral_cancer_v2/yolo/yolo26m/finetuned"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</si>
  <si>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Experiments\oral_cancer_v2\yolo\configs\yolo26m_imbalanced_focal.yaml</t>
  </si>
  <si>
    <t>experiment_name:   "03_V_M_Data_Desbalanceado_Youden_03"
mlflow_experiment: "OralCancerV2_YOLO"
task:              "oral_cancer_v2"
model:             "yolo26m-cls.yaml"
data_path:         "Datasets/oral_cancer_v2_binary_v1.0/split_data"
output_dir:        "Experiments/oral_cancer_v2/yolo/yolo26m/train"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</si>
  <si>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Experiments\oral_cancer_v2\yolo\configs\yolo26m_prune_taylor.yaml</t>
  </si>
  <si>
    <t xml:space="preserve"># ── Fase 2: Pruning (Taylor) ──────────────────────────────────────────────────
experiment_name:   "yolo26m_prune_taylor"
mlflow_experiment: "OralCancerV2_YOLO"
task:              "oral_cancer_v2"
data_path:         "Datasets/oral_cancer_v2_binary_v1.0/split_data"
source_weights:    "Experiments/oral_cancer_v2/yolo/yolo26m/train/weights/best.pt"
output_dir:        "Experiments/oral_cancer_v2/yolo/yolo26m/pruned"
imgsz:             224
batch:             64
pruning_method:       "taylor"
pruning_ratio:        0.3
pruning_grad_batches: 10
</t>
  </si>
  <si>
    <t>Experiments\oral_cancer_v2\yolo\configs\yolo26m_quantize.yaml</t>
  </si>
  <si>
    <t xml:space="preserve"># ── Fase 4: Quantization (INT8 PTQ via ONNX) ──────────────────────────────────
experiment_name:   "yolo26m_quantize"
mlflow_experiment: "OralCancerV2_YOLO"
task:              "oral_cancer_v2"
data_path:         "Datasets/oral_cancer_v2_binary_v1.0/split_data"
source_weights:    "Experiments/oral_cancer_v2/yolo/yolo26m/finetuned/finetuned.pt"
teacher_weights:   "Experiments/oral_cancer_v2/yolo/yolo26m/train/weights/best.pt"
output_dir:        "Experiments/oral_cancer_v2/yolo/yolo26m/quantized"
imgsz:             224
batch:             64
opset_version:     17
calibration_batches: 10
</t>
  </si>
  <si>
    <t>Experiments\oral_cancer_v2\yolo\configs\yolo26n_finetune_kd.yaml</t>
  </si>
  <si>
    <t xml:space="preserve"># ── Fase 3: Fine-tuning (Knowledge Distillation) ──────────────────────────────
experiment_name:   "yolo26n_finetune_kd"
mlflow_experiment: "OralCancerV2_YOLO"
task:              "oral_cancer_v2"
data_path:         "Datasets/oral_cancer_v2_binary_v1.0/split_data"
source_weights:    "Experiments/oral_cancer_v2/yolo/yolo26n/pruned/pruned.pt"
teacher_weights:   "Experiments/oral_cancer_v2/yolo/yolo26n/train/weights/best.pt"
output_dir:        "Experiments/oral_cancer_v2/yolo/yolo26n/finetuned"
imgsz:             224
ft_method:         "kd"
ft_epochs:         50
ft_batch:          64
ft_lr:             0.001
ft_optimizer:      adamw
ft_weight_decay:   0.001
ft_patience:       10
kd_alpha:          0.5
kd_temperature:    4.0
</t>
  </si>
  <si>
    <t>Experiments\oral_cancer_v2\yolo\configs\yolo26n_imbalanced_focal.yaml</t>
  </si>
  <si>
    <t>experiment_name:   "05_V_ N_Data_Desbanlanceado_Youden_05"
mlflow_experiment: "OralCancerV2_YOLO"
task:              "oral_cancer_v2"
model:             "yolo26n-cls.yaml"
data_path:         "Datasets/oral_cancer_v2_binary_v1.0/split_data"
output_dir:        "Experiments/oral_cancer_v2/yolo/yolo26n/train"
pretrained:   false
amp:          false
epochs:       50
batch:        64
imgsz:        224
patience:     0      # deshabilitado: accuracy no es buena metrica con desbalance 89/11
lr0:          0.001
lrf:          0.01
cos_lr:       true
dropout:      0.2
optimizer:    AdamW
weight_decay: 0.001
# Class weights con penalidad suave (0.3 ~ 2x en lugar de 8x completo)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</si>
  <si>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Experiments\oral_cancer_v2\yolo\configs\yolo26n_prune_taylor.yaml</t>
  </si>
  <si>
    <t xml:space="preserve"># ── Fase 2: Pruning (Taylor) ──────────────────────────────────────────────────
experiment_name:   "yolo26n_prune_taylor"
mlflow_experiment: "OralCancerV2_YOLO"
task:              "oral_cancer_v2"
data_path:         "Datasets/oral_cancer_v2_binary_v1.0/split_data"
source_weights:    "Experiments/oral_cancer_v2/yolo/yolo26n/train/weights/best.pt"
output_dir:        "Experiments/oral_cancer_v2/yolo/yolo26n/pruned"
imgsz:             224
batch:             64
pruning_method:       "taylor"
pruning_ratio:        0.3
pruning_grad_batches: 10
</t>
  </si>
  <si>
    <t>Experiments\oral_cancer_v2\yolo\configs\yolo26n_quantize.yaml</t>
  </si>
  <si>
    <t xml:space="preserve"># ── Fase 4: Quantization (INT8 PTQ via ONNX) ──────────────────────────────────
experiment_name:   "yolo26n_quantize"
mlflow_experiment: "OralCancerV2_YOLO"
task:              "oral_cancer_v2"
data_path:         "Datasets/oral_cancer_v2_binary_v1.0/split_data"
source_weights:    "Experiments/oral_cancer_v2/yolo/yolo26n/finetuned/finetuned.pt"
teacher_weights:   "Experiments/oral_cancer_v2/yolo/yolo26n/train/weights/best.pt"
output_dir:        "Experiments/oral_cancer_v2/yolo/yolo26n/quantized"
imgsz:             224
batch:             64
opset_version:     17
calibration_batches: 10
</t>
  </si>
  <si>
    <t>Experiments\oral_cancer_v2\yolo\configs\yolo26s_finetune_kd.yaml</t>
  </si>
  <si>
    <t xml:space="preserve"># ── Fase 3: Fine-tuning (Knowledge Distillation) ──────────────────────────────
experiment_name:   "yolo26s_finetune_kd"
mlflow_experiment: "OralCancerV2_YOLO"
task:              "oral_cancer_v2"
data_path:         "Datasets/oral_cancer_v2_binary_v1.0/split_data"
source_weights:    "Experiments/oral_cancer_v2/yolo/yolo26s/pruned/pruned.pt"
teacher_weights:   "Experiments/oral_cancer_v2/yolo/yolo26s/train/weights/best.pt"
output_dir:        "Experiments/oral_cancer_v2/yolo/yolo26s/finetuned"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</si>
  <si>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Experiments\oral_cancer_v2\yolo\configs\yolo26s_imbalanced_focal.yaml</t>
  </si>
  <si>
    <t>experiment_name:   "04_V_S_Data_Desbalanceado_Youden_04"
mlflow_experiment: "OralCancerV2_YOLO"
task:              "oral_cancer_v2"
model:             "yolo26s-cls.yaml"
data_path:         "Datasets/oral_cancer_v2_binary_v1.0/split_data"
output_dir:        "Experiments/oral_cancer_v2/yolo/yolo26s/train"
pretrained:   false
amp:          false
epochs:       50
batch:        64      
imgsz:        224
patience:     0
lr0:          0.0005
lrf:          0.01
cos_lr:       true
dropout:      0.4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</si>
  <si>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Experiments\oral_cancer_v2\yolo\configs\yolo26s_prune_taylor.yaml</t>
  </si>
  <si>
    <t xml:space="preserve"># ── Fase 2: Pruning (Taylor) ──────────────────────────────────────────────────
experiment_name:   "yolo26s_prune_taylor"
mlflow_experiment: "OralCancerV2_YOLO"
task:              "oral_cancer_v2"
data_path:         "Datasets/oral_cancer_v2_binary_v1.0/split_data"
source_weights:    "Experiments/oral_cancer_v2/yolo/yolo26s/train/weights/best.pt"
output_dir:        "Experiments/oral_cancer_v2/yolo/yolo26s/pruned"
imgsz:             224
batch:             64
pruning_method:       "taylor"
pruning_ratio:        0.3
pruning_grad_batches: 10
</t>
  </si>
  <si>
    <t>Experiments\oral_cancer_v2\yolo\configs\yolo26s_quantize.yaml</t>
  </si>
  <si>
    <t xml:space="preserve"># ── Fase 4: Quantization (INT8 PTQ via ONNX) ──────────────────────────────────
experiment_name:   "yolo26s_quantize"
mlflow_experiment: "OralCancerV2_YOLO"
task:              "oral_cancer_v2"
data_path:         "Datasets/oral_cancer_v2_binary_v1.0/split_data"
source_weights:    "Experiments/oral_cancer_v2/yolo/yolo26s/finetuned/finetuned.pt"
teacher_weights:   "Experiments/oral_cancer_v2/yolo/yolo26s/train/weights/best.pt"
output_dir:        "Experiments/oral_cancer_v2/yolo/yolo26s/quantized"
imgsz:             224
batch:             64
opset_version:     17
calibration_batches: 10
</t>
  </si>
  <si>
    <t>Experiments\oral_cancer_v2\yolo\configs\yolo26x_finetune_kd.yaml</t>
  </si>
  <si>
    <t xml:space="preserve"># ── Fase 3: Fine-tuning (Knowledge Distillation) ──────────────────────────────
experiment_name:   "yolo26x_finetune_kd"
mlflow_experiment: "OralCancerV2_YOLO"
task:              "oral_cancer_v2"
data_path:         "Datasets/oral_cancer_v2_binary_v1.0/split_data"
source_weights:    "Experiments/oral_cancer_v2/yolo/yolo26x/pruned/pruned.pt"
teacher_weights:   "Experiments/oral_cancer_v2/yolo/yolo26x/train/weights/best.pt"
output_dir:        "Experiments/oral_cancer_v2/yolo/yolo26x/finetuned"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</si>
  <si>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Experiments\oral_cancer_v2\yolo\configs\yolo26x_imbalanced_focal.yaml</t>
  </si>
  <si>
    <t>experiment_name:   "01_V_X_Data_Desbalanceado_Youden_01"
mlflow_experiment: "OralCancerV2_YOLO"
task:              "oral_cancer_v2"
model:             "yolo26x-cls.yaml"
data_path:         "Datasets/oral_cancer_v2_binary_v1.0/split_data"
output_dir:        "Experiments/oral_cancer_v2/yolo/yolo26x/train"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</si>
  <si>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Experiments\oral_cancer_v2\yolo\configs\yolo26x_prune_taylor.yaml</t>
  </si>
  <si>
    <t xml:space="preserve"># ── Fase 2: Pruning (Taylor) ──────────────────────────────────────────────────
experiment_name:   "yolo26x_prune_taylor"
mlflow_experiment: "OralCancerV2_YOLO"
task:              "oral_cancer_v2"
data_path:         "Datasets/oral_cancer_v2_binary_v1.0/split_data"
source_weights:    "Experiments/oral_cancer_v2/yolo/yolo26x/train/weights/best.pt"
output_dir:        "Experiments/oral_cancer_v2/yolo/yolo26x/pruned"
imgsz:             224
batch:             64
pruning_method:       "taylor"
pruning_ratio:        0.3
pruning_grad_batches: 10
</t>
  </si>
  <si>
    <t>Experiments\oral_cancer_v2\yolo\configs\yolo26x_quantize.yaml</t>
  </si>
  <si>
    <t xml:space="preserve"># ── Fase 4: Quantization (INT8 PTQ via ONNX) ──────────────────────────────────
experiment_name:   "yolo26x_quantize"
mlflow_experiment: "OralCancerV2_YOLO"
task:              "oral_cancer_v2"
data_path:         "Datasets/oral_cancer_v2_binary_v1.0/split_data"
source_weights:    "Experiments/oral_cancer_v2/yolo/yolo26x/finetuned/finetuned.pt"
teacher_weights:   "Experiments/oral_cancer_v2/yolo/yolo26x/train/weights/best.pt"
output_dir:        "Experiments/oral_cancer_v2/yolo/yolo26x/quantized"
imgsz:             224
batch:             64
opset_version:     17
calibration_batches: 10
</t>
  </si>
  <si>
    <t>efficientnetv2_l</t>
  </si>
  <si>
    <t>Experiments\skin_melanoma\efficientnetv2\configs\efficientnetv2_l.yaml</t>
  </si>
  <si>
    <t xml:space="preserve"># ── Identificación ────────────────────────────────────────────────────────────
experiment_name:   "effv2_l_imbalanced_focal"
mlflow_experiment: "Melanoma_EfficientNetV2"
task:              "skin_melanoma"
positive_class: "melanoma"
data_path:         "Datasets/ham10000_melanoma_binary_imbalanced_v2.0/split_data"
output_dir:        "Experiments/skin_melanoma/efficientnetv2/effv2_l/train"
# ── Modelo (timm) ─────────────────────────────────────────────────────────────
model_name:   "tf_efficientnetv2_l"
pretrained:   false
dropout:      0.5
# ── Entrenamiento ─────────────────────────────────────────────────────────────
epochs:       150
batch:        64        # si OOM, baja a 32 / 16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</si>
  <si>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efficientnetv2_l_finetune_kd</t>
  </si>
  <si>
    <t>Experiments\skin_melanoma\efficientnetv2\configs\efficientnetv2_l_finetune_kd.yaml</t>
  </si>
  <si>
    <t xml:space="preserve"># ── Fase 3: Fine-tuning (Knowledge Distillation) ──────────────────────────────
experiment_name:   "effv2_l_finetune_kd"
mlflow_experiment: "Melanoma_EfficientNetV2"
task:              "skin_melanoma"
positive_class: "melanoma"
data_path:         "Datasets/ham10000_melanoma_binary_imbalanced_v2.0/split_data"
source_weights:    "Experiments/skin_melanoma/efficientnetv2/effv2_l/pruned/pruned.pt"
teacher_weights:   "Experiments/skin_melanoma/efficientnetv2/effv2_l/train/best.pt"
output_dir:        "Experiments/skin_melanoma/efficientnetv2/effv2_l/finetuned"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</si>
  <si>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efficientnetv2_l_prune_taylor</t>
  </si>
  <si>
    <t>Experiments\skin_melanoma\efficientnetv2\configs\efficientnetv2_l_prune_taylor.yaml</t>
  </si>
  <si>
    <t xml:space="preserve"># ── Fase 2: Pruning (Taylor) ──────────────────────────────────────────────────
experiment_name:   "effv2_l_prune_taylor"
mlflow_experiment: "Melanoma_EfficientNetV2"
task:              "skin_melanoma"
positive_class: "melanoma"
data_path:         "Datasets/ham10000_melanoma_binary_imbalanced_v2.0/split_data"
source_weights:    "Experiments/skin_melanoma/efficientnetv2/effv2_l/train/best.pt"
output_dir:        "Experiments/skin_melanoma/efficientnetv2/effv2_l/pruned"
imgsz:             224
batch:             64
pruning_method:       "taylor"     # taylor | magnitude
pruning_ratio:        0.3
pruning_grad_batches: 10
</t>
  </si>
  <si>
    <t>efficientnetv2_l_quantize</t>
  </si>
  <si>
    <t>Experiments\skin_melanoma\efficientnetv2\configs\efficientnetv2_l_quantize.yaml</t>
  </si>
  <si>
    <t xml:space="preserve"># ── Fase 4: Quantization (INT8 PTQ via ONNX) ──────────────────────────────────
experiment_name:   "effv2_l_quantize"
mlflow_experiment: "Melanoma_EfficientNetV2"
task:              "skin_melanoma"
positive_class: "melanoma"
data_path:         "Datasets/ham10000_melanoma_binary_imbalanced_v2.0/split_data"
source_weights:    "Experiments/skin_melanoma/efficientnetv2/effv2_l/finetuned/finetuned.pt"
output_dir:        "Experiments/skin_melanoma/efficientnetv2/effv2_l/quantized"
imgsz:             224
batch:             64
opset_version:     17
calibration_batches: 10
</t>
  </si>
  <si>
    <t>efficientnetv2_m</t>
  </si>
  <si>
    <t>Experiments\skin_melanoma\efficientnetv2\configs\efficientnetv2_m.yaml</t>
  </si>
  <si>
    <t xml:space="preserve"># ── Identificación ────────────────────────────────────────────────────────────
experiment_name:   "effv2_m_imbalanced_focal"
mlflow_experiment: "Melanoma_EfficientNetV2"
task:              "skin_melanoma"
positive_class: "melanoma"
data_path:         "Datasets/ham10000_melanoma_binary_imbalanced_v2.0/split_data"
output_dir:        "Experiments/skin_melanoma/efficientnetv2/effv2_m/train"
# ── Modelo (timm) ─────────────────────────────────────────────────────────────
model_name:   "tf_efficientnetv2_m"
pretrained:   false
dropout:      0.5
# ── Entrenamiento ─────────────────────────────────────────────────────────────
epochs:       150
batch:        64        # si OOM, baja a 32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</si>
  <si>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efficientnetv2_m_finetune_kd</t>
  </si>
  <si>
    <t>Experiments\skin_melanoma\efficientnetv2\configs\efficientnetv2_m_finetune_kd.yaml</t>
  </si>
  <si>
    <t xml:space="preserve"># ── Fase 3: Fine-tuning (Knowledge Distillation) ──────────────────────────────
experiment_name:   "effv2_m_finetune_kd"
mlflow_experiment: "Melanoma_EfficientNetV2"
task:              "skin_melanoma"
positive_class: "melanoma"
data_path:         "Datasets/ham10000_melanoma_binary_imbalanced_v2.0/split_data"
source_weights:    "Experiments/skin_melanoma/efficientnetv2/effv2_m/pruned/pruned.pt"
teacher_weights:   "Experiments/skin_melanoma/efficientnetv2/effv2_m/train/best.pt"
output_dir:        "Experiments/skin_melanoma/efficientnetv2/effv2_m/finetuned"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</si>
  <si>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efficientnetv2_m_prune_taylor</t>
  </si>
  <si>
    <t>Experiments\skin_melanoma\efficientnetv2\configs\efficientnetv2_m_prune_taylor.yaml</t>
  </si>
  <si>
    <t xml:space="preserve"># ── Fase 2: Pruning (Taylor) ──────────────────────────────────────────────────
experiment_name:   "effv2_m_prune_taylor"
mlflow_experiment: "Melanoma_EfficientNetV2"
task:              "skin_melanoma"
positive_class: "melanoma"
data_path:         "Datasets/ham10000_melanoma_binary_imbalanced_v2.0/split_data"
source_weights:    "Experiments/skin_melanoma/efficientnetv2/effv2_m/train/best.pt"
output_dir:        "Experiments/skin_melanoma/efficientnetv2/effv2_m/pruned"
imgsz:             224
batch:             64
pruning_method:       "taylor"     # taylor | magnitude
pruning_ratio:        0.3
pruning_grad_batches: 10
</t>
  </si>
  <si>
    <t>efficientnetv2_m_quantize</t>
  </si>
  <si>
    <t>Experiments\skin_melanoma\efficientnetv2\configs\efficientnetv2_m_quantize.yaml</t>
  </si>
  <si>
    <t xml:space="preserve"># ── Fase 4: Quantization (INT8 PTQ via ONNX) ──────────────────────────────────
experiment_name:   "effv2_m_quantize"
mlflow_experiment: "Melanoma_EfficientNetV2"
task:              "skin_melanoma"
positive_class: "melanoma"
data_path:         "Datasets/ham10000_melanoma_binary_imbalanced_v2.0/split_data"
source_weights:    "Experiments/skin_melanoma/efficientnetv2/effv2_m/finetuned/finetuned.pt"
output_dir:        "Experiments/skin_melanoma/efficientnetv2/effv2_m/quantized"
imgsz:             224
batch:             64
opset_version:     17
calibration_batches: 10
</t>
  </si>
  <si>
    <t>Experiments\skin_melanoma\efficientnetv2\configs\efficientnetv2_s.yaml</t>
  </si>
  <si>
    <t xml:space="preserve"># ── Identificación ────────────────────────────────────────────────────────────
experiment_name:   "effv2_s_imbalanced_focal"
mlflow_experiment: "Melanoma_EfficientNetV2"
task:              "skin_melanoma"
positive_class: "melanoma"
data_path:         "Datasets/ham10000_melanoma_binary_imbalanced_v2.0/split_data"
output_dir:        "Experiments/skin_melanoma/efficientnetv2/effv2_s/train"
# ── Modelo (timm) ─────────────────────────────────────────────────────────────
model_name:   "tf_efficientnetv2_s"
pretrained:   false
dropout:      0.4
# ── Entrenamiento ─────────────────────────────────────────────────────────────
epochs:       150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</si>
  <si>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Experiments\skin_melanoma\efficientnetv2\configs\efficientnetv2_s_finetune_kd.yaml</t>
  </si>
  <si>
    <t xml:space="preserve"># ── Fase 3: Fine-tuning (Knowledge Distillation) ──────────────────────────────
experiment_name:   "effv2_s_finetune_kd"
mlflow_experiment: "Melanoma_EfficientNetV2"
task:              "skin_melanoma"
positive_class: "melanoma"
data_path:         "Datasets/ham10000_melanoma_binary_imbalanced_v2.0/split_data"
source_weights:    "Experiments/skin_melanoma/efficientnetv2/effv2_s/pruned/pruned.pt"
teacher_weights:   "Experiments/skin_melanoma/efficientnetv2/effv2_s/train/best.pt"
output_dir:        "Experiments/skin_melanoma/efficientnetv2/effv2_s/finetuned"
imgsz:             224
dropout:           0.4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</si>
  <si>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Experiments\skin_melanoma\efficientnetv2\configs\efficientnetv2_s_prune_taylor.yaml</t>
  </si>
  <si>
    <t xml:space="preserve"># ── Fase 2: Pruning (Taylor) ──────────────────────────────────────────────────
experiment_name:   "effv2_s_prune_taylor"
mlflow_experiment: "Melanoma_EfficientNetV2"
task:              "skin_melanoma"
positive_class: "melanoma"
data_path:         "Datasets/ham10000_melanoma_binary_imbalanced_v2.0/split_data"
source_weights:    "Experiments/skin_melanoma/efficientnetv2/effv2_s/train/best.pt"
output_dir:        "Experiments/skin_melanoma/efficientnetv2/effv2_s/pruned"
imgsz:             224
batch:             64
pruning_method:       "taylor"     # taylor | magnitude
pruning_ratio:        0.3
pruning_grad_batches: 10
</t>
  </si>
  <si>
    <t>Experiments\skin_melanoma\efficientnetv2\configs\efficientnetv2_s_quantize.yaml</t>
  </si>
  <si>
    <t xml:space="preserve"># ── Fase 4: Quantization (INT8 PTQ via ONNX) ──────────────────────────────────
experiment_name:   "effv2_s_quantize"
mlflow_experiment: "Melanoma_EfficientNetV2"
task:              "skin_melanoma"
positive_class: "melanoma"
data_path:         "Datasets/ham10000_melanoma_binary_imbalanced_v2.0/split_data"
source_weights:    "Experiments/skin_melanoma/efficientnetv2/effv2_s/finetuned/finetuned.pt"
output_dir:        "Experiments/skin_melanoma/efficientnetv2/effv2_s/quantized"
imgsz:             224
batch:             64
opset_version:     17
calibration_batches: 10
</t>
  </si>
  <si>
    <t>efficientnetv2_xl</t>
  </si>
  <si>
    <t>Experiments\skin_melanoma\efficientnetv2\configs\efficientnetv2_xl.yaml</t>
  </si>
  <si>
    <t xml:space="preserve"># ── Identificación ────────────────────────────────────────────────────────────
experiment_name:   "effv2_xl_imbalanced_focal"
mlflow_experiment: "Melanoma_EfficientNetV2"
task:              "skin_melanoma"
positive_class: "melanoma"
data_path:         "Datasets/ham10000_melanoma_binary_imbalanced_v2.0/split_data"
output_dir:        "Experiments/skin_melanoma/efficientnetv2/effv2_xl/train"
# ── Modelo (timm) ─────────────────────────────────────────────────────────────
model_name:   "tf_efficientnetv2_xl"
pretrained:   false
dropout:      0.5
# ── Entrenamiento ─────────────────────────────────────────────────────────────
epochs:       150
batch:        64        # modelo grande (~208M): si OOM, baja a 16 / 8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</si>
  <si>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efficientnetv2_xl_finetune_kd</t>
  </si>
  <si>
    <t>Experiments\skin_melanoma\efficientnetv2\configs\efficientnetv2_xl_finetune_kd.yaml</t>
  </si>
  <si>
    <t xml:space="preserve"># ── Fase 3: Fine-tuning (Knowledge Distillation) ──────────────────────────────
experiment_name:   "effv2_xl_finetune_kd"
mlflow_experiment: "Melanoma_EfficientNetV2"
task:              "skin_melanoma"
positive_class: "melanoma"
data_path:         "Datasets/ham10000_melanoma_binary_imbalanced_v2.0/split_data"
source_weights:    "Experiments/skin_melanoma/efficientnetv2/effv2_xl/pruned/pruned.pt"
teacher_weights:   "Experiments/skin_melanoma/efficientnetv2/effv2_xl/train/best.pt"
output_dir:        "Experiments/skin_melanoma/efficientnetv2/effv2_xl/finetuned"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</si>
  <si>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efficientnetv2_xl_prune_taylor</t>
  </si>
  <si>
    <t>Experiments\skin_melanoma\efficientnetv2\configs\efficientnetv2_xl_prune_taylor.yaml</t>
  </si>
  <si>
    <t xml:space="preserve"># ── Fase 2: Pruning (Taylor) ──────────────────────────────────────────────────
experiment_name:   "effv2_xl_prune_taylor"
mlflow_experiment: "Melanoma_EfficientNetV2"
task:              "skin_melanoma"
positive_class: "melanoma"
data_path:         "Datasets/ham10000_melanoma_binary_imbalanced_v2.0/split_data"
source_weights:    "Experiments/skin_melanoma/efficientnetv2/effv2_xl/train/best.pt"
output_dir:        "Experiments/skin_melanoma/efficientnetv2/effv2_xl/pruned"
imgsz:             224
batch:             64
pruning_method:       "taylor"     # taylor | magnitude
pruning_ratio:        0.3
pruning_grad_batches: 10
</t>
  </si>
  <si>
    <t>efficientnetv2_xl_quantize</t>
  </si>
  <si>
    <t>Experiments\skin_melanoma\efficientnetv2\configs\efficientnetv2_xl_quantize.yaml</t>
  </si>
  <si>
    <t xml:space="preserve"># ── Fase 4: Quantization (INT8 PTQ via ONNX) ──────────────────────────────────
experiment_name:   "effv2_xl_quantize"
mlflow_experiment: "Melanoma_EfficientNetV2"
task:              "skin_melanoma"
positive_class: "melanoma"
data_path:         "Datasets/ham10000_melanoma_binary_imbalanced_v2.0/split_data"
source_weights:    "Experiments/skin_melanoma/efficientnetv2/effv2_xl/finetuned/finetuned.pt"
output_dir:        "Experiments/skin_melanoma/efficientnetv2/effv2_xl/quantized"
imgsz:             224
batch:             64
opset_version:     17
calibration_batches: 10
</t>
  </si>
  <si>
    <t>Experiments\skin_melanoma\mobilenetv4\configs\mobilenetv4_conv_large.yaml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</si>
  <si>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"mnv4_conv_large_imbalanced_focal"
mlflow_experiment: "Melanoma_MobileNetV4"
task:              "skin_melanoma"
positive_class: "melanoma"
data_path:         "Datasets/ham10000_melanoma_binary_imbalanced_v2.0/split_data"
output_dir:        "Experiments/skin_melanoma/mobilenetv4/mnv4_conv_large/train"
# ── Modelo (timm) ─────────────────────────────────────────────────────────────
model_name:   "mobilenetv4_conv_large"
pretrained:   false
dropout:      0.5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</si>
  <si>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Experiments\skin_melanoma\mobilenetv4\configs\mobilenetv4_conv_large_finetune_kd.yaml</t>
  </si>
  <si>
    <t xml:space="preserve"># ── Fase 3: Fine-tuning (Knowledge Distillation) ──────────────────────────────
experiment_name:   "mnv4_conv_large_finetune_kd"
mlflow_experiment: "Melanoma_MobileNetV4"
task:              "skin_melanoma"
positive_class: "melanoma"
data_path:         "Datasets/ham10000_melanoma_binary_imbalanced_v2.0/split_data"
source_weights:    "Experiments/skin_melanoma/mobilenetv4/mnv4_conv_large/pruned/pruned.pt"
teacher_weights:   "Experiments/skin_melanoma/mobilenetv4/mnv4_conv_large/train/best.pt"
output_dir:        "Experiments/skin_melanoma/mobilenetv4/mnv4_conv_large/finetuned"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</si>
  <si>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Experiments\skin_melanoma\mobilenetv4\configs\mobilenetv4_conv_large_prune_taylor.yaml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</si>
  <si>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"mnv4_conv_large_prune_taylor"
mlflow_experiment: "Melanoma_MobileNetV4"
task:              "skin_melanoma"
positive_class: "melanoma"
data_path:         "Datasets/ham10000_melanoma_binary_imbalanced_v2.0/split_data"
source_weights:    "Experiments/skin_melanoma/mobilenetv4/mnv4_conv_large/train/best.pt"
output_dir:        "Experiments/skin_melanoma/mobilenetv4/mnv4_conv_large/pruned"
imgsz:             224
batch:             64
pruning_method:       "taylor"     # taylor | magnitude
pruning_ratio:        0.3
pruning_grad_batches: 10
</t>
  </si>
  <si>
    <t>Experiments\skin_melanoma\mobilenetv4\configs\mobilenetv4_conv_large_quantize.yaml</t>
  </si>
  <si>
    <t xml:space="preserve"># ── Fase 4: Quantization (INT8 PTQ via ONNX) ──────────────────────────────────
experiment_name:   "mnv4_conv_large_quantize"
mlflow_experiment: "Melanoma_MobileNetV4"
task:              "skin_melanoma"
positive_class: "melanoma"
data_path:         "Datasets/ham10000_melanoma_binary_imbalanced_v2.0/split_data"
source_weights:    "Experiments/skin_melanoma/mobilenetv4/mnv4_conv_large/finetuned/finetuned.pt"
output_dir:        "Experiments/skin_melanoma/mobilenetv4/mnv4_conv_large/quantized"
imgsz:             224
batch:             64
opset_version:     17
calibration_batches: 10
</t>
  </si>
  <si>
    <t>Experiments\skin_melanoma\mobilenetv4\configs\mobilenetv4_conv_medium.yaml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</si>
  <si>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"mnv4_conv_medium_imbalanced_focal"
mlflow_experiment: "Melanoma_MobileNetV4"
task:              "skin_melanoma"
positive_class: "melanoma"
data_path:         "Datasets/ham10000_melanoma_binary_imbalanced_v2.0/split_data"
output_dir:        "Experiments/skin_melanoma/mobilenetv4/mnv4_conv_medium/train"
# ── Modelo (timm) ─────────────────────────────────────────────────────────────
model_name:   "mobilenetv4_conv_medium"
pretrained:   false
dropout:      0.4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</si>
  <si>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Experiments\skin_melanoma\mobilenetv4\configs\mobilenetv4_conv_medium_finetune_kd.yaml</t>
  </si>
  <si>
    <t xml:space="preserve"># ── Fase 3: Fine-tuning (Knowledge Distillation) ──────────────────────────────
experiment_name:   "mnv4_conv_medium_finetune_kd"
mlflow_experiment: "Melanoma_MobileNetV4"
task:              "skin_melanoma"
positive_class: "melanoma"
data_path:         "Datasets/ham10000_melanoma_binary_imbalanced_v2.0/split_data"
source_weights:    "Experiments/skin_melanoma/mobilenetv4/mnv4_conv_medium/pruned/pruned.pt"
teacher_weights:   "Experiments/skin_melanoma/mobilenetv4/mnv4_conv_medium/train/best.pt"
output_dir:        "Experiments/skin_melanoma/mobilenetv4/mnv4_conv_medium/finetuned"
imgsz:             224
dropout:           0.4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</si>
  <si>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Experiments\skin_melanoma\mobilenetv4\configs\mobilenetv4_conv_medium_prune_taylor.yaml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</si>
  <si>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"mnv4_conv_medium_prune_taylor"
mlflow_experiment: "Melanoma_MobileNetV4"
task:              "skin_melanoma"
positive_class: "melanoma"
data_path:         "Datasets/ham10000_melanoma_binary_imbalanced_v2.0/split_data"
source_weights:    "Experiments/skin_melanoma/mobilenetv4/mnv4_conv_medium/train/best.pt"
output_dir:        "Experiments/skin_melanoma/mobilenetv4/mnv4_conv_medium/pruned"
imgsz:             224
batch:             64
pruning_method:       "taylor"     # taylor | magnitude
pruning_ratio:        0.3
pruning_grad_batches: 10
</t>
  </si>
  <si>
    <t>Experiments\skin_melanoma\mobilenetv4\configs\mobilenetv4_conv_medium_quantize.yaml</t>
  </si>
  <si>
    <t xml:space="preserve"># ── Fase 4: Quantization (INT8 PTQ via ONNX) ──────────────────────────────────
experiment_name:   "mnv4_conv_medium_quantize"
mlflow_experiment: "Melanoma_MobileNetV4"
task:              "skin_melanoma"
positive_class: "melanoma"
data_path:         "Datasets/ham10000_melanoma_binary_imbalanced_v2.0/split_data"
source_weights:    "Experiments/skin_melanoma/mobilenetv4/mnv4_conv_medium/finetuned/finetuned.pt"
output_dir:        "Experiments/skin_melanoma/mobilenetv4/mnv4_conv_medium/quantized"
imgsz:             224
batch:             64
opset_version:     17
calibration_batches: 10
</t>
  </si>
  <si>
    <t>Experiments\skin_melanoma\mobilenetv4\configs\mobilenetv4_conv_small.yaml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</si>
  <si>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"mnv4_conv_small_imbalanced_focal"
mlflow_experiment: "Melanoma_MobileNetV4"
task:              "skin_melanoma"
positive_class: "melanoma"
data_path:         "Datasets/ham10000_melanoma_binary_imbalanced_v2.0/split_data"
output_dir:        "Experiments/skin_melanoma/mobilenetv4/mnv4_conv_small/train"
# ── Modelo (timm) ─────────────────────────────────────────────────────────────
model_name:   "mobilenetv4_conv_small"
pretrained:   false
dropout:      0.2
# ── Entrenamiento ─────────────────────────────────────────────────────────────
epochs:       50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0.001
weight_decay: 0.001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</si>
  <si>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Experiments\skin_melanoma\mobilenetv4\configs\mobilenetv4_conv_small_finetune_kd.yaml</t>
  </si>
  <si>
    <t xml:space="preserve"># ── Fase 3: Fine-tuning (Knowledge Distillation) ──────────────────────────────
experiment_name:   "mnv4_conv_small_finetune_kd"
mlflow_experiment: "Melanoma_MobileNetV4"
task:              "skin_melanoma"
positive_class: "melanoma"
data_path:         "Datasets/ham10000_melanoma_binary_imbalanced_v2.0/split_data"
source_weights:    "Experiments/skin_melanoma/mobilenetv4/mnv4_conv_small/pruned/pruned.pt"
teacher_weights:   "Experiments/skin_melanoma/mobilenetv4/mnv4_conv_small/train/best.pt"
output_dir:        "Experiments/skin_melanoma/mobilenetv4/mnv4_conv_small/finetuned"
imgsz:             224
dropout:           0.2
ft_method:         "kd"            # kd | scheduler
ft_epochs:         50
ft_batch:          64
ft_lr:             0.001
ft_optimizer:      adamw
ft_weight_decay:   0.001
ft_patience:       10
kd_alpha:          0.5
kd_temperature:    4.0
</t>
  </si>
  <si>
    <t>Experiments\skin_melanoma\mobilenetv4\configs\mobilenetv4_conv_small_prune_taylor.yaml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</si>
  <si>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"mnv4_conv_small_prune_taylor"
mlflow_experiment: "Melanoma_MobileNetV4"
task:              "skin_melanoma"
positive_class: "melanoma"
data_path:         "Datasets/ham10000_melanoma_binary_imbalanced_v2.0/split_data"
source_weights:    "Experiments/skin_melanoma/mobilenetv4/mnv4_conv_small/train/best.pt"
output_dir:        "Experiments/skin_melanoma/mobilenetv4/mnv4_conv_small/pruned"
imgsz:             224
batch:             64
pruning_method:       "taylor"     # taylor | magnitude
pruning_ratio:        0.3
pruning_grad_batches: 10
</t>
  </si>
  <si>
    <t>Experiments\skin_melanoma\mobilenetv4\configs\mobilenetv4_conv_small_quantize.yaml</t>
  </si>
  <si>
    <t xml:space="preserve"># ── Fase 4: Quantization (INT8 PTQ via ONNX) ──────────────────────────────────
experiment_name:   "mnv4_conv_small_quantize"
mlflow_experiment: "Melanoma_MobileNetV4"
task:              "skin_melanoma"
positive_class: "melanoma"
data_path:         "Datasets/ham10000_melanoma_binary_imbalanced_v2.0/split_data"
source_weights:    "Experiments/skin_melanoma/mobilenetv4/mnv4_conv_small/finetuned/finetuned.pt"
output_dir:        "Experiments/skin_melanoma/mobilenetv4/mnv4_conv_small/quantized"
imgsz:             224
batch:             64
opset_version:     17
calibration_batches: 10
</t>
  </si>
  <si>
    <t>mobilenetv4_hybrid_large</t>
  </si>
  <si>
    <t>Experiments\skin_melanoma\mobilenetv4\configs\mobilenetv4_hybrid_large.yaml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</si>
  <si>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"mnv4_hybrid_large_imbalanced_focal"
mlflow_experiment: "Melanoma_MobileNetV4"
task:              "skin_melanoma"
positive_class: "melanoma"
data_path:         "Datasets/ham10000_melanoma_binary_imbalanced_v2.0/split_data"
output_dir:        "Experiments/skin_melanoma/mobilenetv4/mnv4_hybrid_large/train"
# ── Modelo (timm) ─────────────────────────────────────────────────────────────
model_name:   "mobilenetv4_hybrid_large"
pretrained:   false
dropout:      0.5
# ── Entrenamiento ─────────────────────────────────────────────────────────────
epochs:       150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</si>
  <si>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mobilenetv4_hybrid_large_finetune_kd</t>
  </si>
  <si>
    <t>Experiments\skin_melanoma\mobilenetv4\configs\mobilenetv4_hybrid_large_finetune_kd.yaml</t>
  </si>
  <si>
    <t xml:space="preserve"># ── Fase 3: Fine-tuning (Knowledge Distillation) ──────────────────────────────
experiment_name:   "mnv4_hybrid_large_finetune_kd"
mlflow_experiment: "Melanoma_MobileNetV4"
task:              "skin_melanoma"
positive_class: "melanoma"
data_path:         "Datasets/ham10000_melanoma_binary_imbalanced_v2.0/split_data"
source_weights:    "Experiments/skin_melanoma/mobilenetv4/mnv4_hybrid_large/pruned/pruned.pt"
teacher_weights:   "Experiments/skin_melanoma/mobilenetv4/mnv4_hybrid_large/train/best.pt"
output_dir:        "Experiments/skin_melanoma/mobilenetv4/mnv4_hybrid_large/finetuned"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</si>
  <si>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mobilenetv4_hybrid_large_prune_taylor</t>
  </si>
  <si>
    <t>Experiments\skin_melanoma\mobilenetv4\configs\mobilenetv4_hybrid_large_prune_taylor.yaml</t>
  </si>
  <si>
    <t xml:space="preserve"># ── Fase 2: Pruning (Taylor) ──────────────────────────────────────────────────
experiment_name:   "mnv4_hybrid_large_prune_taylor"
mlflow_experiment: "Melanoma_MobileNetV4"
task:              "skin_melanoma"
positive_class: "melanoma"
data_path:         "Datasets/ham10000_melanoma_binary_imbalanced_v2.0/split_data"
source_weights:    "Experiments/skin_melanoma/mobilenetv4/mnv4_hybrid_large/train/best.pt"
output_dir:        "Experiments/skin_melanoma/mobilenetv4/mnv4_hybrid_large/pruned"
imgsz:             224
batch:             64
pruning_method:       "taylor"     # taylor | magnitude
pruning_ratio:        0.3
pruning_grad_batches: 10
</t>
  </si>
  <si>
    <t>mobilenetv4_hybrid_large_quantize</t>
  </si>
  <si>
    <t>Experiments\skin_melanoma\mobilenetv4\configs\mobilenetv4_hybrid_large_quantize.yaml</t>
  </si>
  <si>
    <t xml:space="preserve"># ── Fase 4: Quantization (INT8 PTQ via ONNX) ──────────────────────────────────
experiment_name:   "mnv4_hybrid_large_quantize"
mlflow_experiment: "Melanoma_MobileNetV4"
task:              "skin_melanoma"
positive_class: "melanoma"
data_path:         "Datasets/ham10000_melanoma_binary_imbalanced_v2.0/split_data"
source_weights:    "Experiments/skin_melanoma/mobilenetv4/mnv4_hybrid_large/finetuned/finetuned.pt"
output_dir:        "Experiments/skin_melanoma/mobilenetv4/mnv4_hybrid_large/quantized"
imgsz:             224
batch:             64
opset_version:     17
calibration_batches: 10
</t>
  </si>
  <si>
    <t>mobilenetv4_hybrid_medium</t>
  </si>
  <si>
    <t>Experiments\skin_melanoma\mobilenetv4\configs\mobilenetv4_hybrid_medium.yaml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</si>
  <si>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"mnv4_hybrid_medium_imbalanced_focal"
mlflow_experiment: "Melanoma_MobileNetV4"
task:              "skin_melanoma"
positive_class: "melanoma"
data_path:         "Datasets/ham10000_melanoma_binary_imbalanced_v2.0/split_data"
output_dir:        "Experiments/skin_melanoma/mobilenetv4/mnv4_hybrid_medium/train"
# ── Modelo (timm) ─────────────────────────────────────────────────────────────
model_name:   "mobilenetv4_hybrid_medium"
pretrained:   false
dropout:      0.5
# ── Entrenamiento ─────────────────────────────────────────────────────────────
epochs:       150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</si>
  <si>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mobilenetv4_hybrid_medium_finetune_kd</t>
  </si>
  <si>
    <t>Experiments\skin_melanoma\mobilenetv4\configs\mobilenetv4_hybrid_medium_finetune_kd.yaml</t>
  </si>
  <si>
    <t xml:space="preserve"># ── Fase 3: Fine-tuning (Knowledge Distillation) ──────────────────────────────
experiment_name:   "mnv4_hybrid_medium_finetune_kd"
mlflow_experiment: "Melanoma_MobileNetV4"
task:              "skin_melanoma"
positive_class: "melanoma"
data_path:         "Datasets/ham10000_melanoma_binary_imbalanced_v2.0/split_data"
source_weights:    "Experiments/skin_melanoma/mobilenetv4/mnv4_hybrid_medium/pruned/pruned.pt"
teacher_weights:   "Experiments/skin_melanoma/mobilenetv4/mnv4_hybrid_medium/train/best.pt"
output_dir:        "Experiments/skin_melanoma/mobilenetv4/mnv4_hybrid_medium/finetuned"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</si>
  <si>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mobilenetv4_hybrid_medium_prune_taylor</t>
  </si>
  <si>
    <t>Experiments\skin_melanoma\mobilenetv4\configs\mobilenetv4_hybrid_medium_prune_taylor.yaml</t>
  </si>
  <si>
    <t xml:space="preserve"># ── Fase 2: Pruning (Taylor) ──────────────────────────────────────────────────
experiment_name:   "mnv4_hybrid_medium_prune_taylor"
mlflow_experiment: "Melanoma_MobileNetV4"
task:              "skin_melanoma"
positive_class: "melanoma"
data_path:         "Datasets/ham10000_melanoma_binary_imbalanced_v2.0/split_data"
source_weights:    "Experiments/skin_melanoma/mobilenetv4/mnv4_hybrid_medium/train/best.pt"
output_dir:        "Experiments/skin_melanoma/mobilenetv4/mnv4_hybrid_medium/pruned"
imgsz:             224
batch:             64
pruning_method:       "taylor"     # taylor | magnitude
pruning_ratio:        0.3
pruning_grad_batches: 10
</t>
  </si>
  <si>
    <t>mobilenetv4_hybrid_medium_quantize</t>
  </si>
  <si>
    <t>Experiments\skin_melanoma\mobilenetv4\configs\mobilenetv4_hybrid_medium_quantize.yaml</t>
  </si>
  <si>
    <t xml:space="preserve"># ── Fase 4: Quantization (INT8 PTQ via ONNX) ──────────────────────────────────
experiment_name:   "mnv4_hybrid_medium_quantize"
mlflow_experiment: "Melanoma_MobileNetV4"
task:              "skin_melanoma"
positive_class: "melanoma"
data_path:         "Datasets/ham10000_melanoma_binary_imbalanced_v2.0/split_data"
source_weights:    "Experiments/skin_melanoma/mobilenetv4/mnv4_hybrid_medium/finetuned/finetuned.pt"
output_dir:        "Experiments/skin_melanoma/mobilenetv4/mnv4_hybrid_medium/quantized"
imgsz:             224
batch:             64
opset_version:     17
calibration_batches: 10
</t>
  </si>
  <si>
    <t>Experiments\skin_melanoma\yolo\configs\qat.yaml</t>
  </si>
  <si>
    <t xml:space="preserve">experiment_name:   "04_qat"
mlflow_experiment: "Melanoma_YOLO"
task:              "skin_melanoma"
# Pesos del modelo fine-tuned (Phase 3) y arquitectura original (Phase 1)
source_weights:    "Experiments/skin_melanoma/yolo/yolo26n/finetuned/finetuned.pt"
teacher_weights:   "Experiments/skin_melanoma/yolo/yolo26n/train/weights/best.pt"
output_dir:        "Experiments/skin_melanoma/yolo/yolo26n/quantized"
data_path:      "Datasets/ham10000_melanoma_binary_v1.0_20260422/split_data"
imgsz:     224
qat_batch: 32
qat_epochs:       15
qat_lr:           0.000005
qat_weight_decay: 0.0001
qat_optimizer:    "adamw"
qat_patience:     7
# Batches de warm-up para inicializar observers antes del entrenamiento QAT
calib_batches: 10
</t>
  </si>
  <si>
    <t>Experiments\skin_melanoma\yolo\configs\yolo26l_finetune_kd.yaml</t>
  </si>
  <si>
    <t xml:space="preserve"># ── Fase 3: Fine-tuning (Knowledge Distillation) ──────────────────────────────
experiment_name:   "yolo26l_finetune_kd"
mlflow_experiment: "Melanoma_YOLO"
task:              "skin_melanoma"
data_path:         "Datasets/ham10000_melanoma_binary_imbalanced_v2.0/split_data"
source_weights:    "Experiments/skin_melanoma/yolo/yolo26l/pruned/pruned.pt"
teacher_weights:   "Experiments/skin_melanoma/yolo/yolo26l/train/weights/best.pt"
output_dir:        "Experiments/skin_melanoma/yolo/yolo26l/finetuned"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</si>
  <si>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Experiments\skin_melanoma\yolo\configs\yolo26l_imbalanced_focal.yaml</t>
  </si>
  <si>
    <t>experiment_name:   "02_V_L_Data_Desbalanceado_Youden_02"
mlflow_experiment: "Melanoma_YOLO"
task:              "skin_melanoma"
model:             "yolo26l-cls.yaml"
data_path:         "Datasets/ham10000_melanoma_binary_imbalanced_v2.0/split_data"
output_dir:        "Experiments/skin_melanoma/yolo/yolo26l/train"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</si>
  <si>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Experiments\skin_melanoma\yolo\configs\yolo26l_prune_taylor.yaml</t>
  </si>
  <si>
    <t xml:space="preserve"># ── Fase 2: Pruning (Taylor) ──────────────────────────────────────────────────
experiment_name:   "yolo26l_prune_taylor"
mlflow_experiment: "Melanoma_YOLO"
task:              "skin_melanoma"
data_path:         "Datasets/ham10000_melanoma_binary_imbalanced_v2.0/split_data"
source_weights:    "Experiments/skin_melanoma/yolo/yolo26l/train/weights/best.pt"
output_dir:        "Experiments/skin_melanoma/yolo/yolo26l/pruned"
imgsz:             224
batch:             64
pruning_method:       "taylor"
pruning_ratio:        0.3
pruning_grad_batches: 10
</t>
  </si>
  <si>
    <t>Experiments\skin_melanoma\yolo\configs\yolo26l_quantize.yaml</t>
  </si>
  <si>
    <t xml:space="preserve"># ── Fase 4: Quantization (INT8 PTQ via ONNX) ──────────────────────────────────
experiment_name:   "yolo26l_quantize"
mlflow_experiment: "Melanoma_YOLO"
task:              "skin_melanoma"
data_path:         "Datasets/ham10000_melanoma_binary_imbalanced_v2.0/split_data"
source_weights:    "Experiments/skin_melanoma/yolo/yolo26l/finetuned/finetuned.pt"
teacher_weights:   "Experiments/skin_melanoma/yolo/yolo26l/train/weights/best.pt"
output_dir:        "Experiments/skin_melanoma/yolo/yolo26l/quantized"
imgsz:             224
batch:             64
opset_version:     17
calibration_batches: 10
</t>
  </si>
  <si>
    <t>Experiments\skin_melanoma\yolo\configs\yolo26m_finetune_kd.yaml</t>
  </si>
  <si>
    <t xml:space="preserve"># ── Fase 3: Fine-tuning (Knowledge Distillation) ──────────────────────────────
experiment_name:   "yolo26m_finetune_kd"
mlflow_experiment: "Melanoma_YOLO"
task:              "skin_melanoma"
data_path:         "Datasets/ham10000_melanoma_binary_imbalanced_v2.0/split_data"
source_weights:    "Experiments/skin_melanoma/yolo/yolo26m/pruned/pruned.pt"
teacher_weights:   "Experiments/skin_melanoma/yolo/yolo26m/train/weights/best.pt"
output_dir:        "Experiments/skin_melanoma/yolo/yolo26m/finetuned"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</si>
  <si>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Experiments\skin_melanoma\yolo\configs\yolo26m_imbalanced_focal.yaml</t>
  </si>
  <si>
    <t>experiment_name:   "03_V_M_Data_Desbalanceado_Youden_03"
mlflow_experiment: "Melanoma_YOLO"
task:              "skin_melanoma"
model:             "yolo26m-cls.yaml"
data_path:         "Datasets/ham10000_melanoma_binary_imbalanced_v2.0/split_data"
output_dir:        "Experiments/skin_melanoma/yolo/yolo26m/train"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</si>
  <si>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Experiments\skin_melanoma\yolo\configs\yolo26m_prune_taylor.yaml</t>
  </si>
  <si>
    <t xml:space="preserve"># ── Fase 2: Pruning (Taylor) ──────────────────────────────────────────────────
experiment_name:   "yolo26m_prune_taylor"
mlflow_experiment: "Melanoma_YOLO"
task:              "skin_melanoma"
data_path:         "Datasets/ham10000_melanoma_binary_imbalanced_v2.0/split_data"
source_weights:    "Experiments/skin_melanoma/yolo/yolo26m/train/weights/best.pt"
output_dir:        "Experiments/skin_melanoma/yolo/yolo26m/pruned"
imgsz:             224
batch:             64
pruning_method:       "taylor"
pruning_ratio:        0.3
pruning_grad_batches: 10
</t>
  </si>
  <si>
    <t>Experiments\skin_melanoma\yolo\configs\yolo26m_quantize.yaml</t>
  </si>
  <si>
    <t xml:space="preserve"># ── Fase 4: Quantization (INT8 PTQ via ONNX) ──────────────────────────────────
experiment_name:   "yolo26m_quantize"
mlflow_experiment: "Melanoma_YOLO"
task:              "skin_melanoma"
data_path:         "Datasets/ham10000_melanoma_binary_imbalanced_v2.0/split_data"
source_weights:    "Experiments/skin_melanoma/yolo/yolo26m/finetuned/finetuned.pt"
teacher_weights:   "Experiments/skin_melanoma/yolo/yolo26m/train/weights/best.pt"
output_dir:        "Experiments/skin_melanoma/yolo/yolo26m/quantized"
imgsz:             224
batch:             64
opset_version:     17
calibration_batches: 10
</t>
  </si>
  <si>
    <t>Experiments\skin_melanoma\yolo\configs\yolo26n_finetune_kd.yaml</t>
  </si>
  <si>
    <t xml:space="preserve"># ── Fase 3: Fine-tuning (Knowledge Distillation) ──────────────────────────────
experiment_name:   "yolo26n_finetune_kd"
mlflow_experiment: "Melanoma_YOLO"
task:              "skin_melanoma"
data_path:         "Datasets/ham10000_melanoma_binary_imbalanced_v2.0/split_data"
source_weights:    "Experiments/skin_melanoma/yolo/yolo26n/pruned/pruned.pt"
teacher_weights:   "Experiments/skin_melanoma/yolo/yolo26n/train/weights/best.pt"
output_dir:        "Experiments/skin_melanoma/yolo/yolo26n/finetuned"
imgsz:             224
ft_method:         "kd"
ft_epochs:         50
ft_batch:          64
ft_lr:             0.001
ft_optimizer:      adamw
ft_weight_decay:   0.001
ft_patience:       10
kd_alpha:          0.5
kd_temperature:    4.0
</t>
  </si>
  <si>
    <t>Experiments\skin_melanoma\yolo\configs\yolo26n_imbalanced_focal.yaml</t>
  </si>
  <si>
    <t>experiment_name:   "05_V_ N_Data_Desbanlanceado_Youden_05"
mlflow_experiment: "Melanoma_YOLO"
task:              "skin_melanoma"
model:             "yolo26n-cls.yaml"
data_path:         "Datasets/ham10000_melanoma_binary_imbalanced_v2.0/split_data"
output_dir:        "Experiments/skin_melanoma/yolo/yolo26n/train"
pretrained:   false
amp:          false
epochs:       50
batch:        64
imgsz:        224
patience:     0      # deshabilitado: accuracy no es buena metrica con desbalance 89/11
lr0:          0.001
lrf:          0.01
cos_lr:       true
dropout:      0.2
optimizer:    AdamW
weight_decay: 0.001
# Class weights con penalidad suave (0.3 ~ 2x en lugar de 8x completo)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</si>
  <si>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Experiments\skin_melanoma\yolo\configs\yolo26n_prune_taylor.yaml</t>
  </si>
  <si>
    <t xml:space="preserve"># ── Fase 2: Pruning (Taylor) ──────────────────────────────────────────────────
experiment_name:   "yolo26n_prune_taylor"
mlflow_experiment: "Melanoma_YOLO"
task:              "skin_melanoma"
data_path:         "Datasets/ham10000_melanoma_binary_imbalanced_v2.0/split_data"
source_weights:    "Experiments/skin_melanoma/yolo/yolo26n/train/weights/best.pt"
output_dir:        "Experiments/skin_melanoma/yolo/yolo26n/pruned"
imgsz:             224
batch:             64
pruning_method:       "taylor"
pruning_ratio:        0.3
pruning_grad_batches: 10
</t>
  </si>
  <si>
    <t>Experiments\skin_melanoma\yolo\configs\yolo26n_quantize.yaml</t>
  </si>
  <si>
    <t xml:space="preserve"># ── Fase 4: Quantization (INT8 PTQ via ONNX) ──────────────────────────────────
experiment_name:   "yolo26n_quantize"
mlflow_experiment: "Melanoma_YOLO"
task:              "skin_melanoma"
data_path:         "Datasets/ham10000_melanoma_binary_imbalanced_v2.0/split_data"
source_weights:    "Experiments/skin_melanoma/yolo/yolo26n/finetuned/finetuned.pt"
teacher_weights:   "Experiments/skin_melanoma/yolo/yolo26n/train/weights/best.pt"
output_dir:        "Experiments/skin_melanoma/yolo/yolo26n/quantized"
imgsz:             224
batch:             64
opset_version:     17
calibration_batches: 10
</t>
  </si>
  <si>
    <t>Experiments\skin_melanoma\yolo\configs\yolo26s_finetune_kd.yaml</t>
  </si>
  <si>
    <t xml:space="preserve"># ── Fase 3: Fine-tuning (Knowledge Distillation) ──────────────────────────────
experiment_name:   "yolo26s_finetune_kd"
mlflow_experiment: "Melanoma_YOLO"
task:              "skin_melanoma"
data_path:         "Datasets/ham10000_melanoma_binary_imbalanced_v2.0/split_data"
source_weights:    "Experiments/skin_melanoma/yolo/yolo26s/pruned/pruned.pt"
teacher_weights:   "Experiments/skin_melanoma/yolo/yolo26s/train/weights/best.pt"
output_dir:        "Experiments/skin_melanoma/yolo/yolo26s/finetuned"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</si>
  <si>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Experiments\skin_melanoma\yolo\configs\yolo26s_imbalanced_focal.yaml</t>
  </si>
  <si>
    <t>experiment_name:   "04_V_S_Data_Desbalanceado_Youden_04"
mlflow_experiment: "Melanoma_YOLO"
task:              "skin_melanoma"
model:             "yolo26s-cls.yaml"
data_path:         "Datasets/ham10000_melanoma_binary_imbalanced_v2.0/split_data"
output_dir:        "Experiments/skin_melanoma/yolo/yolo26s/train"
pretrained:   false
amp:          false
epochs:       50
batch:        64      
imgsz:        224
patience:     0
lr0:          0.0005
lrf:          0.01
cos_lr:       true
dropout:      0.4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</si>
  <si>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Experiments\skin_melanoma\yolo\configs\yolo26s_prune_taylor.yaml</t>
  </si>
  <si>
    <t xml:space="preserve"># ── Fase 2: Pruning (Taylor) ──────────────────────────────────────────────────
experiment_name:   "yolo26s_prune_taylor"
mlflow_experiment: "Melanoma_YOLO"
task:              "skin_melanoma"
data_path:         "Datasets/ham10000_melanoma_binary_imbalanced_v2.0/split_data"
source_weights:    "Experiments/skin_melanoma/yolo/yolo26s/train/weights/best.pt"
output_dir:        "Experiments/skin_melanoma/yolo/yolo26s/pruned"
imgsz:             224
batch:             64
pruning_method:       "taylor"
pruning_ratio:        0.3
pruning_grad_batches: 10
</t>
  </si>
  <si>
    <t>Experiments\skin_melanoma\yolo\configs\yolo26s_quantize.yaml</t>
  </si>
  <si>
    <t xml:space="preserve"># ── Fase 4: Quantization (INT8 PTQ via ONNX) ──────────────────────────────────
experiment_name:   "yolo26s_quantize"
mlflow_experiment: "Melanoma_YOLO"
task:              "skin_melanoma"
data_path:         "Datasets/ham10000_melanoma_binary_imbalanced_v2.0/split_data"
source_weights:    "Experiments/skin_melanoma/yolo/yolo26s/finetuned/finetuned.pt"
teacher_weights:   "Experiments/skin_melanoma/yolo/yolo26s/train/weights/best.pt"
output_dir:        "Experiments/skin_melanoma/yolo/yolo26s/quantized"
imgsz:             224
batch:             64
opset_version:     17
calibration_batches: 10
</t>
  </si>
  <si>
    <t>Experiments\skin_melanoma\yolo\configs\yolo26x_finetune_kd.yaml</t>
  </si>
  <si>
    <t xml:space="preserve"># ── Fase 3: Fine-tuning (Knowledge Distillation) ──────────────────────────────
experiment_name:   "yolo26x_finetune_kd"
mlflow_experiment: "Melanoma_YOLO"
task:              "skin_melanoma"
data_path:         "Datasets/ham10000_melanoma_binary_imbalanced_v2.0/split_data"
source_weights:    "Experiments/skin_melanoma/yolo/yolo26x/pruned/pruned.pt"
teacher_weights:   "Experiments/skin_melanoma/yolo/yolo26x/train/weights/best.pt"
output_dir:        "Experiments/skin_melanoma/yolo/yolo26x/finetuned"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</si>
  <si>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Experiments\skin_melanoma\yolo\configs\yolo26x_imbalanced_focal.yaml</t>
  </si>
  <si>
    <t>experiment_name:   "01_V_X_Data_Desbalanceado_Youden_01"
mlflow_experiment: "Melanoma_YOLO"
task:              "skin_melanoma"
model:             "yolo26x-cls.yaml"
data_path:         "Datasets/ham10000_melanoma_binary_imbalanced_v2.0/split_data"
output_dir:        "Experiments/skin_melanoma/yolo/yolo26x/train"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</si>
  <si>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Experiments\skin_melanoma\yolo\configs\yolo26x_prune_taylor.yaml</t>
  </si>
  <si>
    <t xml:space="preserve"># ── Fase 2: Pruning (Taylor) ──────────────────────────────────────────────────
experiment_name:   "yolo26x_prune_taylor"
mlflow_experiment: "Melanoma_YOLO"
task:              "skin_melanoma"
data_path:         "Datasets/ham10000_melanoma_binary_imbalanced_v2.0/split_data"
source_weights:    "Experiments/skin_melanoma/yolo/yolo26x/train/weights/best.pt"
output_dir:        "Experiments/skin_melanoma/yolo/yolo26x/pruned"
imgsz:             224
batch:             64
pruning_method:       "taylor"
pruning_ratio:        0.3
pruning_grad_batches: 10
</t>
  </si>
  <si>
    <t>Experiments\skin_melanoma\yolo\configs\yolo26x_quantize.yaml</t>
  </si>
  <si>
    <t xml:space="preserve"># ── Fase 4: Quantization (INT8 PTQ via ONNX) ──────────────────────────────────
experiment_name:   "yolo26x_quantize"
mlflow_experiment: "Melanoma_YOLO"
task:              "skin_melanoma"
data_path:         "Datasets/ham10000_melanoma_binary_imbalanced_v2.0/split_data"
source_weights:    "Experiments/skin_melanoma/yolo/yolo26x/finetuned/finetuned.pt"
teacher_weights:   "Experiments/skin_melanoma/yolo/yolo26x/train/weights/best.pt"
output_dir:        "Experiments/skin_melanoma/yolo/yolo26x/quantized"
imgsz:             224
batch:             64
opset_version:     17
calibration_batches: 10
</t>
  </si>
  <si>
    <t>Experiments\unas_melanoma\efficientnetv2\configs\efficientnetv2_s.yaml</t>
  </si>
  <si>
    <t xml:space="preserve"># ── Identificación ────────────────────────────────────────────────────────────
experiment_name:   "effv2_s_imbalanced_focal"
mlflow_experiment: "Unas_EfficientNetV2"
task:              "unas_melanoma"
positive_class: "melanoma"
data_path:         "Datasets/unas_melanoma_binary_v1.0/split_data"
output_dir:        "Experiments/unas_melanoma/efficientnetv2/effv2_s/train"
# ── Modelo (timm) ─────────────────────────────────────────────────────────────
model_name:   "tf_efficientnetv2_s"
pretrained:   false
dropout:      0.4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</si>
  <si>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Experiments\unas_melanoma\efficientnetv2\configs\efficientnetv2_s_finetune_kd.yaml</t>
  </si>
  <si>
    <t xml:space="preserve"># ── Fase 3: Fine-tuning (Knowledge Distillation) ──────────────────────────────
experiment_name:   "effv2_s_finetune_kd"
mlflow_experiment: "Unas_EfficientNetV2"
task:              "unas_melanoma"
positive_class: "melanoma"
data_path:         "Datasets/unas_melanoma_binary_v1.0/split_data"
source_weights:    "Experiments/unas_melanoma/efficientnetv2/effv2_s/pruned/pruned.pt"
teacher_weights:   "Experiments/unas_melanoma/efficientnetv2/effv2_s/train/best.pt"
output_dir:        "Experiments/unas_melanoma/efficientnetv2/effv2_s/finetuned"
imgsz:             224
dropout:           0.4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</si>
  <si>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Experiments\unas_melanoma\efficientnetv2\configs\efficientnetv2_s_prune_taylor.yaml</t>
  </si>
  <si>
    <t xml:space="preserve"># ── Fase 2: Pruning (Taylor) ──────────────────────────────────────────────────
experiment_name:   "effv2_s_prune_taylor"
mlflow_experiment: "Unas_EfficientNetV2"
task:              "unas_melanoma"
positive_class: "melanoma"
data_path:         "Datasets/unas_melanoma_binary_v1.0/split_data"
source_weights:    "Experiments/unas_melanoma/efficientnetv2/effv2_s/train/best.pt"
output_dir:        "Experiments/unas_melanoma/efficientnetv2/effv2_s/pruned"
imgsz:             224
batch:             64
pruning_method:       "taylor"     # taylor | magnitude
pruning_ratio:        0.3
pruning_grad_batches: 10
</t>
  </si>
  <si>
    <t>Experiments\unas_melanoma\efficientnetv2\configs\efficientnetv2_s_quantize.yaml</t>
  </si>
  <si>
    <t xml:space="preserve"># ── Fase 4: Quantization (INT8 PTQ via ONNX) ──────────────────────────────────
experiment_name:   "effv2_s_quantize"
mlflow_experiment: "Unas_EfficientNetV2"
task:              "unas_melanoma"
positive_class: "melanoma"
data_path:         "Datasets/unas_melanoma_binary_v1.0/split_data"
source_weights:    "Experiments/unas_melanoma/efficientnetv2/effv2_s/finetuned/finetuned.pt"
output_dir:        "Experiments/unas_melanoma/efficientnetv2/effv2_s/quantized"
imgsz:             224
batch:             64
opset_version:     17
calibration_batches: 10
</t>
  </si>
  <si>
    <t>Experiments\unas_melanoma\mobilenetv4\configs\mobilenetv4_conv_large.yaml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</si>
  <si>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"mnv4_conv_large_imbalanced_focal"
mlflow_experiment: "Unas_MobileNetV4"
task:              "unas_melanoma"
positive_class: "melanoma"
data_path:         "Datasets/unas_melanoma_binary_v1.0/split_data"
output_dir:        "Experiments/unas_melanoma/mobilenetv4/mnv4_conv_large/train"
# ── Modelo (timm) ─────────────────────────────────────────────────────────────
model_name:   "mobilenetv4_conv_large"
pretrained:   false
dropout:      0.5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</si>
  <si>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Experiments\unas_melanoma\mobilenetv4\configs\mobilenetv4_conv_large_finetune_kd.yaml</t>
  </si>
  <si>
    <t xml:space="preserve"># ── Fase 3: Fine-tuning (Knowledge Distillation) ──────────────────────────────
experiment_name:   "mnv4_conv_large_finetune_kd"
mlflow_experiment: "Unas_MobileNetV4"
task:              "unas_melanoma"
positive_class: "melanoma"
data_path:         "Datasets/unas_melanoma_binary_v1.0/split_data"
source_weights:    "Experiments/unas_melanoma/mobilenetv4/mnv4_conv_large/pruned/pruned.pt"
teacher_weights:   "Experiments/unas_melanoma/mobilenetv4/mnv4_conv_large/train/best.pt"
output_dir:        "Experiments/unas_melanoma/mobilenetv4/mnv4_conv_large/finetuned"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</si>
  <si>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Experiments\unas_melanoma\mobilenetv4\configs\mobilenetv4_conv_large_prune_taylor.yaml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</si>
  <si>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"mnv4_conv_large_prune_taylor"
mlflow_experiment: "Unas_MobileNetV4"
task:              "unas_melanoma"
positive_class: "melanoma"
data_path:         "Datasets/unas_melanoma_binary_v1.0/split_data"
source_weights:    "Experiments/unas_melanoma/mobilenetv4/mnv4_conv_large/train/best.pt"
output_dir:        "Experiments/unas_melanoma/mobilenetv4/mnv4_conv_large/pruned"
imgsz:             224
batch:             64
pruning_method:       "taylor"     # taylor | magnitude
pruning_ratio:        0.3
pruning_grad_batches: 10
</t>
  </si>
  <si>
    <t>Experiments\unas_melanoma\mobilenetv4\configs\mobilenetv4_conv_large_quantize.yaml</t>
  </si>
  <si>
    <t xml:space="preserve"># ── Fase 4: Quantization (INT8 PTQ via ONNX) ──────────────────────────────────
experiment_name:   "mnv4_conv_large_quantize"
mlflow_experiment: "Unas_MobileNetV4"
task:              "unas_melanoma"
positive_class: "melanoma"
data_path:         "Datasets/unas_melanoma_binary_v1.0/split_data"
source_weights:    "Experiments/unas_melanoma/mobilenetv4/mnv4_conv_large/finetuned/finetuned.pt"
output_dir:        "Experiments/unas_melanoma/mobilenetv4/mnv4_conv_large/quantized"
imgsz:             224
batch:             64
opset_version:     17
calibration_batches: 10
</t>
  </si>
  <si>
    <t>Experiments\unas_melanoma\mobilenetv4\configs\mobilenetv4_conv_medium.yaml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</si>
  <si>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"mnv4_conv_medium_imbalanced_focal"
mlflow_experiment: "Unas_MobileNetV4"
task:              "unas_melanoma"
positive_class: "melanoma"
data_path:         "Datasets/unas_melanoma_binary_v1.0/split_data"
output_dir:        "Experiments/unas_melanoma/mobilenetv4/mnv4_conv_medium/train"
# ── Modelo (timm) ─────────────────────────────────────────────────────────────
model_name:   "mobilenetv4_conv_medium"
pretrained:   false
dropout:      0.4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</si>
  <si>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Experiments\unas_melanoma\mobilenetv4\configs\mobilenetv4_conv_medium_finetune_kd.yaml</t>
  </si>
  <si>
    <t xml:space="preserve"># ── Fase 3: Fine-tuning (Knowledge Distillation) ──────────────────────────────
experiment_name:   "mnv4_conv_medium_finetune_kd"
mlflow_experiment: "Unas_MobileNetV4"
task:              "unas_melanoma"
positive_class: "melanoma"
data_path:         "Datasets/unas_melanoma_binary_v1.0/split_data"
source_weights:    "Experiments/unas_melanoma/mobilenetv4/mnv4_conv_medium/pruned/pruned.pt"
teacher_weights:   "Experiments/unas_melanoma/mobilenetv4/mnv4_conv_medium/train/best.pt"
output_dir:        "Experiments/unas_melanoma/mobilenetv4/mnv4_conv_medium/finetuned"
imgsz:             224
dropout:           0.4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</si>
  <si>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Experiments\unas_melanoma\mobilenetv4\configs\mobilenetv4_conv_medium_prune_taylor.yaml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</si>
  <si>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"mnv4_conv_medium_prune_taylor"
mlflow_experiment: "Unas_MobileNetV4"
task:              "unas_melanoma"
positive_class: "melanoma"
data_path:         "Datasets/unas_melanoma_binary_v1.0/split_data"
source_weights:    "Experiments/unas_melanoma/mobilenetv4/mnv4_conv_medium/train/best.pt"
output_dir:        "Experiments/unas_melanoma/mobilenetv4/mnv4_conv_medium/pruned"
imgsz:             224
batch:             64
pruning_method:       "taylor"     # taylor | magnitude
pruning_ratio:        0.3
pruning_grad_batches: 10
</t>
  </si>
  <si>
    <t>Experiments\unas_melanoma\mobilenetv4\configs\mobilenetv4_conv_medium_quantize.yaml</t>
  </si>
  <si>
    <t xml:space="preserve"># ── Fase 4: Quantization (INT8 PTQ via ONNX) ──────────────────────────────────
experiment_name:   "mnv4_conv_medium_quantize"
mlflow_experiment: "Unas_MobileNetV4"
task:              "unas_melanoma"
positive_class: "melanoma"
data_path:         "Datasets/unas_melanoma_binary_v1.0/split_data"
source_weights:    "Experiments/unas_melanoma/mobilenetv4/mnv4_conv_medium/finetuned/finetuned.pt"
output_dir:        "Experiments/unas_melanoma/mobilenetv4/mnv4_conv_medium/quantized"
imgsz:             224
batch:             64
opset_version:     17
calibration_batches: 10
</t>
  </si>
  <si>
    <t>Experiments\unas_melanoma\mobilenetv4\configs\mobilenetv4_conv_small.yaml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</si>
  <si>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"mnv4_conv_small_imbalanced_focal"
mlflow_experiment: "Unas_MobileNetV4"
task:              "unas_melanoma"
positive_class: "melanoma"
data_path:         "Datasets/unas_melanoma_binary_v1.0/split_data"
output_dir:        "Experiments/unas_melanoma/mobilenetv4/mnv4_conv_small/train"
# ── Modelo (timm) ─────────────────────────────────────────────────────────────
model_name:   "mobilenetv4_conv_small"
pretrained:   false
dropout:      0.2
# ── Entrenamiento ─────────────────────────────────────────────────────────────
epochs:       100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0.001
weight_decay: 0.001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</si>
  <si>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Experiments\unas_melanoma\mobilenetv4\configs\mobilenetv4_conv_small_finetune_kd.yaml</t>
  </si>
  <si>
    <t xml:space="preserve"># ── Fase 3: Fine-tuning (Knowledge Distillation) ──────────────────────────────
experiment_name:   "mnv4_conv_small_finetune_kd"
mlflow_experiment: "Unas_MobileNetV4"
task:              "unas_melanoma"
positive_class: "melanoma"
data_path:         "Datasets/unas_melanoma_binary_v1.0/split_data"
source_weights:    "Experiments/unas_melanoma/mobilenetv4/mnv4_conv_small/pruned/pruned.pt"
teacher_weights:   "Experiments/unas_melanoma/mobilenetv4/mnv4_conv_small/train/best.pt"
output_dir:        "Experiments/unas_melanoma/mobilenetv4/mnv4_conv_small/finetuned"
imgsz:             224
dropout:           0.2
ft_method:         "kd"            # kd | scheduler
ft_epochs:         50
ft_batch:          64
ft_lr:             0.001
ft_optimizer:      adamw
ft_weight_decay:   0.001
ft_patience:       10
kd_alpha:          0.5
kd_temperature:    4.0
</t>
  </si>
  <si>
    <t>Experiments\unas_melanoma\mobilenetv4\configs\mobilenetv4_conv_small_prune_taylor.yaml</t>
  </si>
  <si>
    <t xml:space="preserve"># ── Fase 2: Pruning (Taylor) ──────────────────────────────────────────────────
experiment_name:   "mnv4_conv_small_prune_taylor"
mlflow_experiment: "Unas_MobileNetV4"
task:              "unas_melanoma"
positive_class: "melanoma"
data_path:         "Datasets/unas_melanoma_binary_v1.0/split_data"
source_weights:    "Experiments/unas_melanoma/mobilenetv4/mnv4_conv_small/train/best.pt"
output_dir:        "Experiments/unas_melanoma/mobilenetv4/mnv4_conv_small/pruned"
imgsz:             224
batch:             64
pruning_method:       "taylor"     # taylor | magnitude
pruning_ratio:        0.3
pruning_grad_batches: 10
</t>
  </si>
  <si>
    <t>Experiments\unas_melanoma\mobilenetv4\configs\mobilenetv4_conv_small_quantize.yaml</t>
  </si>
  <si>
    <t xml:space="preserve"># ── Fase 4: Quantization (INT8 PTQ via ONNX) ──────────────────────────────────
experiment_name:   "mnv4_conv_small_quantize"
mlflow_experiment: "Unas_MobileNetV4"
task:              "unas_melanoma"
positive_class: "melanoma"
data_path:         "Datasets/unas_melanoma_binary_v1.0/split_data"
source_weights:    "Experiments/unas_melanoma/mobilenetv4/mnv4_conv_small/finetuned/finetuned.pt"
output_dir:        "Experiments/unas_melanoma/mobilenetv4/mnv4_conv_small/quantized"
imgsz:             224
batch:             64
opset_version:     17
calibration_batches: 10
</t>
  </si>
  <si>
    <t>Experiments\unas_melanoma\mobilenetv4\configs\mobilenetv4_hybrid_large.yaml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</si>
  <si>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"mnv4_hybrid_large_imbalanced_focal"
mlflow_experiment: "Unas_MobileNetV4"
task:              "unas_melanoma"
positive_class: "melanoma"
data_path:         "Datasets/unas_melanoma_binary_v1.0/split_data"
output_dir:        "Experiments/unas_melanoma/mobilenetv4/mnv4_hybrid_large/train"
# ── Modelo (timm) ─────────────────────────────────────────────────────────────
model_name:   "mobilenetv4_hybrid_large"
pretrained:   false
dropout:      0.5
# ── Entrenamiento ─────────────────────────────────────────────────────────────
epochs:       150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</si>
  <si>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Experiments\unas_melanoma\mobilenetv4\configs\mobilenetv4_hybrid_large_finetune_kd.yaml</t>
  </si>
  <si>
    <t xml:space="preserve"># ── Fase 3: Fine-tuning (Knowledge Distillation) ──────────────────────────────
experiment_name:   "mnv4_hybrid_large_finetune_kd"
mlflow_experiment: "Unas_MobileNetV4"
task:              "unas_melanoma"
positive_class: "melanoma"
data_path:         "Datasets/unas_melanoma_binary_v1.0/split_data"
source_weights:    "Experiments/unas_melanoma/mobilenetv4/mnv4_hybrid_large/pruned/pruned.pt"
teacher_weights:   "Experiments/unas_melanoma/mobilenetv4/mnv4_hybrid_large/train/best.pt"
output_dir:        "Experiments/unas_melanoma/mobilenetv4/mnv4_hybrid_large/finetuned"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</si>
  <si>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Experiments\unas_melanoma\mobilenetv4\configs\mobilenetv4_hybrid_large_prune_taylor.yaml</t>
  </si>
  <si>
    <t xml:space="preserve"># ── Fase 2: Pruning (Taylor) ──────────────────────────────────────────────────
experiment_name:   "mnv4_hybrid_large_prune_taylor"
mlflow_experiment: "Unas_MobileNetV4"
task:              "unas_melanoma"
positive_class: "melanoma"
data_path:         "Datasets/unas_melanoma_binary_v1.0/split_data"
source_weights:    "Experiments/unas_melanoma/mobilenetv4/mnv4_hybrid_large/train/best.pt"
output_dir:        "Experiments/unas_melanoma/mobilenetv4/mnv4_hybrid_large/pruned"
imgsz:             224
batch:             64
pruning_method:       "taylor"     # taylor | magnitude
pruning_ratio:        0.3
pruning_grad_batches: 10
</t>
  </si>
  <si>
    <t>Experiments\unas_melanoma\mobilenetv4\configs\mobilenetv4_hybrid_large_quantize.yaml</t>
  </si>
  <si>
    <t xml:space="preserve"># ── Fase 4: Quantization (INT8 PTQ via ONNX) ──────────────────────────────────
experiment_name:   "mnv4_hybrid_large_quantize"
mlflow_experiment: "Unas_MobileNetV4"
task:              "unas_melanoma"
positive_class: "melanoma"
data_path:         "Datasets/unas_melanoma_binary_v1.0/split_data"
source_weights:    "Experiments/unas_melanoma/mobilenetv4/mnv4_hybrid_large/finetuned/finetuned.pt"
output_dir:        "Experiments/unas_melanoma/mobilenetv4/mnv4_hybrid_large/quantized"
imgsz:             224
batch:             64
opset_version:     17
calibration_batches: 10
</t>
  </si>
  <si>
    <t>Experiments\unas_melanoma\mobilenetv4\configs\mobilenetv4_hybrid_medium.yaml</t>
  </si>
  <si>
    <t xml:space="preserve"># ── Identificación ────────────────────────────────────────────────────────────
experiment_name:   "mnv4_hybrid_medium_imbalanced_focal"
mlflow_experiment: "Unas_MobileNetV4"
task:              "unas_melanoma"
positive_class: "melanoma"
data_path:         "Datasets/unas_melanoma_binary_v1.0/split_data"
output_dir:        "Experiments/unas_melanoma/mobilenetv4/mnv4_hybrid_medium/train"
# ── Modelo (timm) ─────────────────────────────────────────────────────────────
model_name:   "mobilenetv4_hybrid_medium"
pretrained:   false
dropout:      0.5
# ── Entrenamiento ─────────────────────────────────────────────────────────────
epochs:       150
batch:        64
imgsz:        224
patience:     0
amp:          false
# ── Optimizer / scheduler ─────────────────────────────────────────────────────
optimizer:    AdamW
lr:           0.0005
weight_decay: 0.005
cos_lr:       true
lrf:          0.01
# ── Class weights (desbalance) ────────────────────────────────────────────────
class_weights:       true
class_weight_factor: 0.3
# ── Augmentation (HSV de YOLO → ColorJitter) ──────────────────────────────────
fliplr:     0.5
flipud:     0.5
degrees:    45
brightness: 0.25     # ← hsv_v
contrast:   0.0      # YOLO no aplica contraste
saturation: 0.30     # ← hsv_s
hue:        0.02     # ← hsv_h
translate:  0.1
scale:      0.2
erasing:    0.2
</t>
  </si>
  <si>
    <t>Experiments\unas_melanoma\mobilenetv4\configs\mobilenetv4_hybrid_medium_finetune_kd.yaml</t>
  </si>
  <si>
    <t xml:space="preserve"># ── Fase 3: Fine-tuning (Knowledge Distillation) ──────────────────────────────
experiment_name:   "mnv4_hybrid_medium_finetune_kd"
mlflow_experiment: "Unas_MobileNetV4"
task:              "unas_melanoma"
positive_class: "melanoma"
data_path:         "Datasets/unas_melanoma_binary_v1.0/split_data"
source_weights:    "Experiments/unas_melanoma/mobilenetv4/mnv4_hybrid_medium/pruned/pruned.pt"
teacher_weights:   "Experiments/unas_melanoma/mobilenetv4/mnv4_hybrid_medium/train/best.pt"
output_dir:        "Experiments/unas_melanoma/mobilenetv4/mnv4_hybrid_medium/finetuned"
imgsz:             224
dropout:           0.5
ft_method:         "kd"            # kd | scheduler
ft_epochs:         50
ft_batch:          64
ft_lr:             0.0005
ft_optimizer:      adamw
ft_weight_decay:   0.005
ft_patience:       10
kd_alpha:          0.5
kd_temperature:    4.0
</t>
  </si>
  <si>
    <t>Experiments\unas_melanoma\mobilenetv4\configs\mobilenetv4_hybrid_medium_prune_taylor.yaml</t>
  </si>
  <si>
    <t xml:space="preserve"># ── Fase 2: Pruning (Taylor) ──────────────────────────────────────────────────
experiment_name:   "mnv4_hybrid_medium_prune_taylor"
mlflow_experiment: "Unas_MobileNetV4"
task:              "unas_melanoma"
positive_class: "melanoma"
data_path:         "Datasets/unas_melanoma_binary_v1.0/split_data"
source_weights:    "Experiments/unas_melanoma/mobilenetv4/mnv4_hybrid_medium/train/best.pt"
output_dir:        "Experiments/unas_melanoma/mobilenetv4/mnv4_hybrid_medium/pruned"
imgsz:             224
batch:             64
pruning_method:       "taylor"     # taylor | magnitude
pruning_ratio:        0.3
pruning_grad_batches: 10
</t>
  </si>
  <si>
    <t>Experiments\unas_melanoma\mobilenetv4\configs\mobilenetv4_hybrid_medium_quantize.yaml</t>
  </si>
  <si>
    <t xml:space="preserve"># ── Fase 4: Quantization (INT8 PTQ via ONNX) ──────────────────────────────────
experiment_name:   "mnv4_hybrid_medium_quantize"
mlflow_experiment: "Unas_MobileNetV4"
task:              "unas_melanoma"
positive_class: "melanoma"
data_path:         "Datasets/unas_melanoma_binary_v1.0/split_data"
source_weights:    "Experiments/unas_melanoma/mobilenetv4/mnv4_hybrid_medium/finetuned/finetuned.pt"
output_dir:        "Experiments/unas_melanoma/mobilenetv4/mnv4_hybrid_medium/quantized"
imgsz:             224
batch:             64
opset_version:     17
calibration_batches: 10
</t>
  </si>
  <si>
    <t>Experiments\unas_melanoma\yolo\configs\qat.yaml</t>
  </si>
  <si>
    <t xml:space="preserve">experiment_name:   "04_qat"
mlflow_experiment: "Unas_YOLO"
task:              "unas_melanoma"
# Pesos del modelo fine-tuned (Phase 3) y arquitectura original (Phase 1)
source_weights:    "Experiments/unas_melanoma/yolo/yolo26n/finetuned/finetuned.pt"
teacher_weights:   "Experiments/unas_melanoma/yolo/yolo26n/train/weights/best.pt"
output_dir:        "Experiments/unas_melanoma/yolo/yolo26n/quantized"
data_path:      "Datasets/unas_melanoma_binary_v1.0_20260422/split_data"
imgsz:     224
qat_batch: 32
qat_epochs:       15
qat_lr:           0.000005
qat_weight_decay: 0.0001
qat_optimizer:    "adamw"
qat_patience:     7
# Batches de warm-up para inicializar observers antes del entrenamiento QAT
calib_batches: 10
</t>
  </si>
  <si>
    <t>Experiments\unas_melanoma\yolo\configs\yolo26l_finetune_kd.yaml</t>
  </si>
  <si>
    <t xml:space="preserve"># ── Fase 3: Fine-tuning (Knowledge Distillation) ──────────────────────────────
experiment_name:   "yolo26l_finetune_kd"
mlflow_experiment: "Unas_YOLO"
task:              "unas_melanoma"
data_path:         "Datasets/unas_melanoma_binary_v1.0/split_data"
source_weights:    "Experiments/unas_melanoma/yolo/yolo26l/pruned/pruned.pt"
teacher_weights:   "Experiments/unas_melanoma/yolo/yolo26l/train/weights/best.pt"
output_dir:        "Experiments/unas_melanoma/yolo/yolo26l/finetuned"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</si>
  <si>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Experiments\unas_melanoma\yolo\configs\yolo26l_imbalanced_focal.yaml</t>
  </si>
  <si>
    <t>experiment_name:   "02_V_L_Data_Desbalanceado_Youden_02"
mlflow_experiment: "Unas_YOLO"
task:              "unas_melanoma"
model:             "yolo26l-cls.yaml"
data_path:         "Datasets/unas_melanoma_binary_v1.0/split_data"
output_dir:        "Experiments/unas_melanoma/yolo/yolo26l/train"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</si>
  <si>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Experiments\unas_melanoma\yolo\configs\yolo26l_prune_taylor.yaml</t>
  </si>
  <si>
    <t xml:space="preserve"># ── Fase 2: Pruning (Taylor) ──────────────────────────────────────────────────
experiment_name:   "yolo26l_prune_taylor"
mlflow_experiment: "Unas_YOLO"
task:              "unas_melanoma"
data_path:         "Datasets/unas_melanoma_binary_v1.0/split_data"
source_weights:    "Experiments/unas_melanoma/yolo/yolo26l/train/weights/best.pt"
output_dir:        "Experiments/unas_melanoma/yolo/yolo26l/pruned"
imgsz:             224
batch:             64
pruning_method:       "taylor"
pruning_ratio:        0.3
pruning_grad_batches: 10
</t>
  </si>
  <si>
    <t>Experiments\unas_melanoma\yolo\configs\yolo26l_quantize.yaml</t>
  </si>
  <si>
    <t xml:space="preserve"># ── Fase 4: Quantization (INT8 PTQ via ONNX) ──────────────────────────────────
experiment_name:   "yolo26l_quantize"
mlflow_experiment: "Unas_YOLO"
task:              "unas_melanoma"
data_path:         "Datasets/unas_melanoma_binary_v1.0/split_data"
source_weights:    "Experiments/unas_melanoma/yolo/yolo26l/finetuned/finetuned.pt"
teacher_weights:   "Experiments/unas_melanoma/yolo/yolo26l/train/weights/best.pt"
output_dir:        "Experiments/unas_melanoma/yolo/yolo26l/quantized"
imgsz:             224
batch:             64
opset_version:     17
calibration_batches: 10
</t>
  </si>
  <si>
    <t>Experiments\unas_melanoma\yolo\configs\yolo26m_finetune_kd.yaml</t>
  </si>
  <si>
    <t xml:space="preserve"># ── Fase 3: Fine-tuning (Knowledge Distillation) ──────────────────────────────
experiment_name:   "yolo26m_finetune_kd"
mlflow_experiment: "Unas_YOLO"
task:              "unas_melanoma"
data_path:         "Datasets/unas_melanoma_binary_v1.0/split_data"
source_weights:    "Experiments/unas_melanoma/yolo/yolo26m/pruned/pruned.pt"
teacher_weights:   "Experiments/unas_melanoma/yolo/yolo26m/train/weights/best.pt"
output_dir:        "Experiments/unas_melanoma/yolo/yolo26m/finetuned"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</si>
  <si>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Experiments\unas_melanoma\yolo\configs\yolo26m_imbalanced_focal.yaml</t>
  </si>
  <si>
    <t>experiment_name:   "03_V_M_Data_Desbalanceado_Youden_03"
mlflow_experiment: "Unas_YOLO"
task:              "unas_melanoma"
model:             "yolo26m-cls.yaml"
data_path:         "Datasets/unas_melanoma_binary_v1.0/split_data"
output_dir:        "Experiments/unas_melanoma/yolo/yolo26m/train"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</si>
  <si>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Experiments\unas_melanoma\yolo\configs\yolo26m_prune_taylor.yaml</t>
  </si>
  <si>
    <t xml:space="preserve"># ── Fase 2: Pruning (Taylor) ──────────────────────────────────────────────────
experiment_name:   "yolo26m_prune_taylor"
mlflow_experiment: "Unas_YOLO"
task:              "unas_melanoma"
data_path:         "Datasets/unas_melanoma_binary_v1.0/split_data"
source_weights:    "Experiments/unas_melanoma/yolo/yolo26m/train/weights/best.pt"
output_dir:        "Experiments/unas_melanoma/yolo/yolo26m/pruned"
imgsz:             224
batch:             64
pruning_method:       "taylor"
pruning_ratio:        0.3
pruning_grad_batches: 10
</t>
  </si>
  <si>
    <t>Experiments\unas_melanoma\yolo\configs\yolo26m_quantize.yaml</t>
  </si>
  <si>
    <t xml:space="preserve"># ── Fase 4: Quantization (INT8 PTQ via ONNX) ──────────────────────────────────
experiment_name:   "yolo26m_quantize"
mlflow_experiment: "Unas_YOLO"
task:              "unas_melanoma"
data_path:         "Datasets/unas_melanoma_binary_v1.0/split_data"
source_weights:    "Experiments/unas_melanoma/yolo/yolo26m/finetuned/finetuned.pt"
teacher_weights:   "Experiments/unas_melanoma/yolo/yolo26m/train/weights/best.pt"
output_dir:        "Experiments/unas_melanoma/yolo/yolo26m/quantized"
imgsz:             224
batch:             64
opset_version:     17
calibration_batches: 10
</t>
  </si>
  <si>
    <t>Experiments\unas_melanoma\yolo\configs\yolo26n_finetune_kd.yaml</t>
  </si>
  <si>
    <t xml:space="preserve"># ── Fase 3: Fine-tuning (Knowledge Distillation) ──────────────────────────────
experiment_name:   "yolo26n_finetune_kd"
mlflow_experiment: "Unas_YOLO"
task:              "unas_melanoma"
data_path:         "Datasets/unas_melanoma_binary_v1.0/split_data"
source_weights:    "Experiments/unas_melanoma/yolo/yolo26n/pruned/pruned.pt"
teacher_weights:   "Experiments/unas_melanoma/yolo/yolo26n/train/weights/best.pt"
output_dir:        "Experiments/unas_melanoma/yolo/yolo26n/finetuned"
imgsz:             224
ft_method:         "kd"
ft_epochs:         50
ft_batch:          64
ft_lr:             0.001
ft_optimizer:      adamw
ft_weight_decay:   0.001
ft_patience:       10
kd_alpha:          0.5
kd_temperature:    4.0
</t>
  </si>
  <si>
    <t>Experiments\unas_melanoma\yolo\configs\yolo26n_imbalanced_focal.yaml</t>
  </si>
  <si>
    <t>experiment_name:   "05_V_ N_Data_Desbanlanceado_Youden_05"
mlflow_experiment: "Unas_YOLO"
task:              "unas_melanoma"
model:             "yolo26n-cls.yaml"
data_path:         "Datasets/unas_melanoma_binary_v1.0/split_data"
output_dir:        "Experiments/unas_melanoma/yolo/yolo26n/train"
pretrained:   false
amp:          false
epochs:       50
batch:        64
imgsz:        224
patience:     0      # deshabilitado: accuracy no es buena metrica con desbalance 89/11
lr0:          0.001
lrf:          0.01
cos_lr:       true
dropout:      0.2
optimizer:    AdamW
weight_decay: 0.001
# Class weights con penalidad suave (0.3 ~ 2x en lugar de 8x completo)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</si>
  <si>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Experiments\unas_melanoma\yolo\configs\yolo26n_prune_taylor.yaml</t>
  </si>
  <si>
    <t xml:space="preserve"># ── Fase 2: Pruning (Taylor) ──────────────────────────────────────────────────
experiment_name:   "yolo26n_prune_taylor"
mlflow_experiment: "Unas_YOLO"
task:              "unas_melanoma"
data_path:         "Datasets/unas_melanoma_binary_v1.0/split_data"
source_weights:    "Experiments/unas_melanoma/yolo/yolo26n/train/weights/best.pt"
output_dir:        "Experiments/unas_melanoma/yolo/yolo26n/pruned"
imgsz:             224
batch:             64
pruning_method:       "taylor"
pruning_ratio:        0.3
pruning_grad_batches: 10
</t>
  </si>
  <si>
    <t>Experiments\unas_melanoma\yolo\configs\yolo26n_quantize.yaml</t>
  </si>
  <si>
    <t xml:space="preserve"># ── Fase 4: Quantization (INT8 PTQ via ONNX) ──────────────────────────────────
experiment_name:   "yolo26n_quantize"
mlflow_experiment: "Unas_YOLO"
task:              "unas_melanoma"
data_path:         "Datasets/unas_melanoma_binary_v1.0/split_data"
source_weights:    "Experiments/unas_melanoma/yolo/yolo26n/finetuned/finetuned.pt"
teacher_weights:   "Experiments/unas_melanoma/yolo/yolo26n/train/weights/best.pt"
output_dir:        "Experiments/unas_melanoma/yolo/yolo26n/quantized"
imgsz:             224
batch:             64
opset_version:     17
calibration_batches: 10
</t>
  </si>
  <si>
    <t>Experiments\unas_melanoma\yolo\configs\yolo26s_finetune_kd.yaml</t>
  </si>
  <si>
    <t xml:space="preserve"># ── Fase 3: Fine-tuning (Knowledge Distillation) ──────────────────────────────
experiment_name:   "yolo26s_finetune_kd"
mlflow_experiment: "Unas_YOLO"
task:              "unas_melanoma"
data_path:         "Datasets/unas_melanoma_binary_v1.0/split_data"
source_weights:    "Experiments/unas_melanoma/yolo/yolo26s/pruned/pruned.pt"
teacher_weights:   "Experiments/unas_melanoma/yolo/yolo26s/train/weights/best.pt"
output_dir:        "Experiments/unas_melanoma/yolo/yolo26s/finetuned"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</si>
  <si>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Experiments\unas_melanoma\yolo\configs\yolo26s_imbalanced_focal.yaml</t>
  </si>
  <si>
    <t>experiment_name:   "04_V_S_Data_Desbalanceado_Youden_04"
mlflow_experiment: "Unas_YOLO"
task:              "unas_melanoma"
model:             "yolo26s-cls.yaml"
data_path:         "Datasets/unas_melanoma_binary_v1.0/split_data"
output_dir:        "Experiments/unas_melanoma/yolo/yolo26s/train"
pretrained:   false
amp:          false
epochs:       50
batch:        64      
imgsz:        224
patience:     0
lr0:          0.0005
lrf:          0.01
cos_lr:       true
dropout:      0.4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</si>
  <si>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Experiments\unas_melanoma\yolo\configs\yolo26s_prune_taylor.yaml</t>
  </si>
  <si>
    <t xml:space="preserve"># ── Fase 2: Pruning (Taylor) ──────────────────────────────────────────────────
experiment_name:   "yolo26s_prune_taylor"
mlflow_experiment: "Unas_YOLO"
task:              "unas_melanoma"
data_path:         "Datasets/unas_melanoma_binary_v1.0/split_data"
source_weights:    "Experiments/unas_melanoma/yolo/yolo26s/train/weights/best.pt"
output_dir:        "Experiments/unas_melanoma/yolo/yolo26s/pruned"
imgsz:             224
batch:             64
pruning_method:       "taylor"
pruning_ratio:        0.3
pruning_grad_batches: 10
</t>
  </si>
  <si>
    <t>Experiments\unas_melanoma\yolo\configs\yolo26s_quantize.yaml</t>
  </si>
  <si>
    <t xml:space="preserve"># ── Fase 4: Quantization (INT8 PTQ via ONNX) ──────────────────────────────────
experiment_name:   "yolo26s_quantize"
mlflow_experiment: "Unas_YOLO"
task:              "unas_melanoma"
data_path:         "Datasets/unas_melanoma_binary_v1.0/split_data"
source_weights:    "Experiments/unas_melanoma/yolo/yolo26s/finetuned/finetuned.pt"
teacher_weights:   "Experiments/unas_melanoma/yolo/yolo26s/train/weights/best.pt"
output_dir:        "Experiments/unas_melanoma/yolo/yolo26s/quantized"
imgsz:             224
batch:             64
opset_version:     17
calibration_batches: 10
</t>
  </si>
  <si>
    <t>Experiments\unas_melanoma\yolo\configs\yolo26x_finetune_kd.yaml</t>
  </si>
  <si>
    <t xml:space="preserve"># ── Fase 3: Fine-tuning (Knowledge Distillation) ──────────────────────────────
experiment_name:   "yolo26x_finetune_kd"
mlflow_experiment: "Unas_YOLO"
task:              "unas_melanoma"
data_path:         "Datasets/unas_melanoma_binary_v1.0/split_data"
source_weights:    "Experiments/unas_melanoma/yolo/yolo26x/pruned/pruned.pt"
teacher_weights:   "Experiments/unas_melanoma/yolo/yolo26x/train/weights/best.pt"
output_dir:        "Experiments/unas_melanoma/yolo/yolo26x/finetuned"
imgsz:             224
ft_method:         "kd"
ft_epochs:         50
ft_batch:          64
ft_lr:             0.0005
ft_optimizer:      adamw
ft_weight_decay:   0.005
ft_patience:       10
kd_alpha:          0.5
kd_temperature:    4.0
</t>
  </si>
  <si>
    <t>Experiments\unas_melanoma\yolo\configs\yolo26x_imbalanced_focal.yaml</t>
  </si>
  <si>
    <t>experiment_name:   "01_V_X_Data_Desbalanceado_Youden_01"
mlflow_experiment: "Unas_YOLO"
task:              "unas_melanoma"
model:             "yolo26x-cls.yaml"
data_path:         "Datasets/unas_melanoma_binary_v1.0/split_data"
output_dir:        "Experiments/unas_melanoma/yolo/yolo26x/train"
pretrained:   false
amp:          false
epochs:       100
batch:        64      
imgsz:        224
patience:     0
lr0:          0.0005
lrf:          0.01
cos_lr:       true
dropout:      0.5
optimizer:    AdamW
weight_decay: 0.005
class_weights:        true
class_weight_factor:  0.3
hsv_h:       0.02
hsv_s:       0.30
hsv_v:       0.25
fliplr:      0.5
flipud:      0.5
degrees:     45
translate:   0.1
scale:       0.2
erasing:     0.2
mosaic:      0.0
perspective: 0.0
shear:       0.0</t>
  </si>
  <si>
    <t>Experiments\unas_melanoma\yolo\configs\yolo26x_prune_taylor.yaml</t>
  </si>
  <si>
    <t xml:space="preserve"># ── Fase 2: Pruning (Taylor) ──────────────────────────────────────────────────
experiment_name:   "yolo26x_prune_taylor"
mlflow_experiment: "Unas_YOLO"
task:              "unas_melanoma"
data_path:         "Datasets/unas_melanoma_binary_v1.0/split_data"
source_weights:    "Experiments/unas_melanoma/yolo/yolo26x/train/weights/best.pt"
output_dir:        "Experiments/unas_melanoma/yolo/yolo26x/pruned"
imgsz:             224
batch:             64
pruning_method:       "taylor"
pruning_ratio:        0.3
pruning_grad_batches: 10
</t>
  </si>
  <si>
    <t>Experiments\unas_melanoma\yolo\configs\yolo26x_quantize.yaml</t>
  </si>
  <si>
    <t xml:space="preserve"># ── Fase 4: Quantization (INT8 PTQ via ONNX) ──────────────────────────────────
experiment_name:   "yolo26x_quantize"
mlflow_experiment: "Unas_YOLO"
task:              "unas_melanoma"
data_path:         "Datasets/unas_melanoma_binary_v1.0/split_data"
source_weights:    "Experiments/unas_melanoma/yolo/yolo26x/finetuned/finetuned.pt"
teacher_weights:   "Experiments/unas_melanoma/yolo/yolo26x/train/weights/best.pt"
output_dir:        "Experiments/unas_melanoma/yolo/yolo26x/quantized"
imgsz:             224
batch:             64
opset_version:     17
calibration_batches: 10
</t>
  </si>
  <si>
    <t>delta_mb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</si>
</sst>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5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workbookViewId="0">
      <pane ySplit="1" topLeftCell="A2" activePane="bottomLeft" state="frozen"/>
      <selection pane="bottomLeft" activeCell="D37" sqref="D37"/>
    </sheetView>
  </sheetViews>
  <sheetFormatPr baseColWidth="10" defaultColWidth="9.140625" defaultRowHeight="15" x14ac:dyDescent="0.25"/>
  <cols>
    <col min="1" max="2" width="16" customWidth="1"/>
    <col min="3" max="3" width="18" customWidth="1"/>
    <col min="4" max="4" width="34" customWidth="1"/>
    <col min="5" max="5" width="13" customWidth="1"/>
    <col min="6" max="6" width="18" customWidth="1"/>
    <col min="7" max="7" width="16" customWidth="1"/>
    <col min="8" max="8" width="21" customWidth="1"/>
    <col min="9" max="9" width="12" customWidth="1"/>
    <col min="10" max="10" width="14" customWidth="1"/>
    <col min="11" max="11" width="19" customWidth="1"/>
    <col min="12" max="12" width="17" customWidth="1"/>
    <col min="13" max="13" width="22" customWidth="1"/>
    <col min="14" max="14" width="13" customWidth="1"/>
    <col min="15" max="15" width="12" customWidth="1"/>
    <col min="16" max="16" width="15" customWidth="1"/>
    <col min="17" max="17" width="12" customWidth="1"/>
    <col min="18" max="18" width="18" customWidth="1"/>
    <col min="19" max="19" width="23" customWidth="1"/>
    <col min="20" max="20" width="21" customWidth="1"/>
    <col min="21" max="21" width="26" customWidth="1"/>
    <col min="22" max="22" width="17" customWidth="1"/>
    <col min="23" max="24" width="23" customWidth="1"/>
    <col min="25" max="25" width="22" customWidth="1"/>
    <col min="26" max="26" width="25" customWidth="1"/>
    <col min="27" max="27" width="23" customWidth="1"/>
    <col min="28" max="28" width="12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3">
        <v>0.98729999999999996</v>
      </c>
      <c r="F2" s="2">
        <v>0.9617</v>
      </c>
      <c r="G2" s="3">
        <v>0.92810000000000004</v>
      </c>
      <c r="H2" s="3">
        <v>0.97489999999999999</v>
      </c>
      <c r="I2" s="2">
        <v>0.94799999999999995</v>
      </c>
      <c r="J2" s="3">
        <v>0.99750000000000005</v>
      </c>
      <c r="K2" s="2">
        <v>0.96719999999999995</v>
      </c>
      <c r="L2" s="3">
        <v>0.97419999999999995</v>
      </c>
      <c r="M2" s="3">
        <v>0.99419999999999997</v>
      </c>
      <c r="N2" s="2">
        <v>0.98440000000000005</v>
      </c>
      <c r="O2" s="3">
        <v>10.95</v>
      </c>
      <c r="P2" s="3">
        <v>17.420000000000002</v>
      </c>
      <c r="Q2" s="3">
        <v>0.54</v>
      </c>
      <c r="R2" s="3">
        <v>0.98709999999999998</v>
      </c>
      <c r="S2" s="2">
        <v>0.97540000000000004</v>
      </c>
      <c r="T2" s="3">
        <v>0.92220000000000002</v>
      </c>
      <c r="U2" s="3">
        <v>0.9849</v>
      </c>
      <c r="V2" s="2">
        <v>0.9506</v>
      </c>
      <c r="W2" s="3">
        <v>-6.0999999999999943E-3</v>
      </c>
      <c r="X2" s="3">
        <v>1.0900000000000021E-2</v>
      </c>
      <c r="Y2" s="3">
        <v>1.190000000000002E-2</v>
      </c>
      <c r="Z2" s="3">
        <v>-1.0000000000000011E-2</v>
      </c>
      <c r="AA2" s="3">
        <v>5.9999999999993392E-4</v>
      </c>
      <c r="AB2" s="3">
        <v>41.64</v>
      </c>
    </row>
    <row r="3" spans="1:28" x14ac:dyDescent="0.25">
      <c r="A3" s="2" t="s">
        <v>28</v>
      </c>
      <c r="B3" s="2" t="s">
        <v>32</v>
      </c>
      <c r="C3" s="2" t="s">
        <v>33</v>
      </c>
      <c r="D3" s="2" t="s">
        <v>34</v>
      </c>
      <c r="E3" s="3">
        <v>0.95750000000000002</v>
      </c>
      <c r="F3" s="2">
        <v>0.75139999999999996</v>
      </c>
      <c r="G3" s="3">
        <v>0.98199999999999998</v>
      </c>
      <c r="H3" s="3">
        <v>0.55779999999999996</v>
      </c>
      <c r="I3" s="2">
        <v>0.78280000000000005</v>
      </c>
      <c r="J3" s="3">
        <v>0.96189999999999998</v>
      </c>
      <c r="K3" s="2">
        <v>0.7732</v>
      </c>
      <c r="L3" s="3">
        <v>0.97940000000000005</v>
      </c>
      <c r="M3" s="3">
        <v>0.54069999999999996</v>
      </c>
      <c r="N3" s="2">
        <v>0.82069999999999999</v>
      </c>
      <c r="O3" s="3">
        <v>22.11</v>
      </c>
      <c r="P3" s="3">
        <v>28.26</v>
      </c>
      <c r="Q3" s="3">
        <v>0.4</v>
      </c>
      <c r="R3" s="3">
        <v>0.98509999999999998</v>
      </c>
      <c r="S3" s="2">
        <v>0.9536</v>
      </c>
      <c r="T3" s="3">
        <v>0.97009999999999996</v>
      </c>
      <c r="U3" s="3">
        <v>0.93469999999999998</v>
      </c>
      <c r="V3" s="2">
        <v>0.94740000000000002</v>
      </c>
      <c r="W3" s="3">
        <v>-2.9799999999999941E-2</v>
      </c>
      <c r="X3" s="3">
        <v>-0.21029999999999999</v>
      </c>
      <c r="Y3" s="3">
        <v>1.790000000000003E-2</v>
      </c>
      <c r="Z3" s="3">
        <v>-0.40200000000000002</v>
      </c>
      <c r="AA3" s="3">
        <v>-0.17549999999999999</v>
      </c>
      <c r="AB3" s="3">
        <v>81.569999999999993</v>
      </c>
    </row>
    <row r="4" spans="1:28" x14ac:dyDescent="0.25">
      <c r="A4" s="2" t="s">
        <v>35</v>
      </c>
      <c r="B4" s="2" t="s">
        <v>29</v>
      </c>
      <c r="C4" s="2" t="s">
        <v>30</v>
      </c>
      <c r="D4" s="2" t="s">
        <v>36</v>
      </c>
      <c r="E4" s="3">
        <v>0.93230000000000002</v>
      </c>
      <c r="F4" s="2">
        <v>0.86109999999999998</v>
      </c>
      <c r="G4" s="3">
        <v>0.79410000000000003</v>
      </c>
      <c r="H4" s="3">
        <v>0.92110000000000003</v>
      </c>
      <c r="I4" s="2">
        <v>0.84379999999999999</v>
      </c>
      <c r="J4" s="3">
        <v>0.93920000000000003</v>
      </c>
      <c r="K4" s="2">
        <v>0.88570000000000004</v>
      </c>
      <c r="L4" s="3">
        <v>0.89390000000000003</v>
      </c>
      <c r="M4" s="3">
        <v>0.91890000000000005</v>
      </c>
      <c r="N4" s="2">
        <v>0.90080000000000005</v>
      </c>
      <c r="O4" s="3">
        <v>10.95</v>
      </c>
      <c r="P4" s="3">
        <v>17.47</v>
      </c>
      <c r="Q4" s="3">
        <v>0.24</v>
      </c>
      <c r="R4" s="3">
        <v>0.93630000000000002</v>
      </c>
      <c r="S4" s="2">
        <v>0.86109999999999998</v>
      </c>
      <c r="T4" s="3">
        <v>0.80879999999999996</v>
      </c>
      <c r="U4" s="3">
        <v>0.90790000000000004</v>
      </c>
      <c r="V4" s="2">
        <v>0.84619999999999995</v>
      </c>
      <c r="W4" s="3">
        <v>-1.039999999999996E-2</v>
      </c>
      <c r="X4" s="3">
        <v>-4.8599999999999977E-2</v>
      </c>
      <c r="Y4" s="3">
        <v>-0.1177</v>
      </c>
      <c r="Z4" s="3">
        <v>2.6399999999999979E-2</v>
      </c>
      <c r="AA4" s="3">
        <v>-5.479999999999996E-2</v>
      </c>
      <c r="AB4" s="3">
        <v>41.64</v>
      </c>
    </row>
    <row r="5" spans="1:28" x14ac:dyDescent="0.25">
      <c r="A5" s="2" t="s">
        <v>37</v>
      </c>
      <c r="B5" s="2" t="s">
        <v>29</v>
      </c>
      <c r="C5" s="2" t="s">
        <v>38</v>
      </c>
      <c r="D5" s="2" t="s">
        <v>39</v>
      </c>
      <c r="E5" s="3">
        <v>0.89739999999999998</v>
      </c>
      <c r="F5" s="2">
        <v>0.90029999999999999</v>
      </c>
      <c r="G5" s="3">
        <v>0.86899999999999999</v>
      </c>
      <c r="H5" s="3">
        <v>0.74929999999999997</v>
      </c>
      <c r="I5" s="2">
        <v>0.44990000000000002</v>
      </c>
      <c r="J5" s="3">
        <v>0.88619999999999999</v>
      </c>
      <c r="K5" s="2">
        <v>0.90339999999999998</v>
      </c>
      <c r="L5" s="3">
        <v>0.85540000000000005</v>
      </c>
      <c r="M5" s="3">
        <v>0.7258</v>
      </c>
      <c r="N5" s="2">
        <v>0.4214</v>
      </c>
      <c r="O5" s="3">
        <v>1.98</v>
      </c>
      <c r="P5" s="3">
        <v>3.56</v>
      </c>
      <c r="Q5" s="3">
        <v>0.94</v>
      </c>
      <c r="R5" s="3">
        <v>0.89659999999999995</v>
      </c>
      <c r="S5" s="2">
        <v>0.89759999999999995</v>
      </c>
      <c r="T5" s="3">
        <v>0.85119999999999996</v>
      </c>
      <c r="U5" s="3">
        <v>0.78669999999999995</v>
      </c>
      <c r="V5" s="2">
        <v>0.47989999999999999</v>
      </c>
      <c r="W5" s="3">
        <v>1.3699999999999929E-2</v>
      </c>
      <c r="X5" s="3">
        <v>2.7000000000000361E-3</v>
      </c>
      <c r="Y5" s="3">
        <v>2.380000000000004E-2</v>
      </c>
      <c r="Z5" s="3">
        <v>-1.4000000000000681E-3</v>
      </c>
      <c r="AA5" s="3">
        <v>8.2000000000000406E-3</v>
      </c>
      <c r="AB5" s="3">
        <v>6.28</v>
      </c>
    </row>
    <row r="6" spans="1:28" x14ac:dyDescent="0.25">
      <c r="A6" s="2" t="s">
        <v>37</v>
      </c>
      <c r="B6" s="2" t="s">
        <v>32</v>
      </c>
      <c r="C6" s="2" t="s">
        <v>33</v>
      </c>
      <c r="D6" s="2" t="s">
        <v>40</v>
      </c>
      <c r="E6" s="3">
        <v>0.84250000000000003</v>
      </c>
      <c r="F6" s="2">
        <v>0.52929999999999999</v>
      </c>
      <c r="G6" s="3">
        <v>0.98209999999999997</v>
      </c>
      <c r="H6" s="3">
        <v>0.41620000000000001</v>
      </c>
      <c r="I6" s="2">
        <v>0.29649999999999999</v>
      </c>
      <c r="J6" s="3">
        <v>0.84619999999999995</v>
      </c>
      <c r="K6" s="2">
        <v>0.51370000000000005</v>
      </c>
      <c r="L6" s="3">
        <v>1</v>
      </c>
      <c r="M6" s="3">
        <v>0.4037</v>
      </c>
      <c r="N6" s="2">
        <v>0.29430000000000001</v>
      </c>
      <c r="O6" s="3">
        <v>22.11</v>
      </c>
      <c r="P6" s="3">
        <v>28.69</v>
      </c>
      <c r="Q6" s="3">
        <v>0.4</v>
      </c>
      <c r="R6" s="3">
        <v>0.86050000000000004</v>
      </c>
      <c r="S6" s="2">
        <v>0.88759999999999994</v>
      </c>
      <c r="T6" s="3">
        <v>0.85709999999999997</v>
      </c>
      <c r="U6" s="3">
        <v>0.68489999999999995</v>
      </c>
      <c r="V6" s="2">
        <v>0.39290000000000003</v>
      </c>
      <c r="W6" s="3">
        <v>-4.9999999999999933E-2</v>
      </c>
      <c r="X6" s="3">
        <v>-0.37430000000000002</v>
      </c>
      <c r="Y6" s="3">
        <v>0.2082999999999999</v>
      </c>
      <c r="Z6" s="3">
        <v>-0.41010000000000002</v>
      </c>
      <c r="AA6" s="3">
        <v>-0.19409999999999999</v>
      </c>
      <c r="AB6" s="3">
        <v>81.569999999999993</v>
      </c>
    </row>
    <row r="7" spans="1:28" x14ac:dyDescent="0.25">
      <c r="A7" s="2" t="s">
        <v>35</v>
      </c>
      <c r="B7" s="2" t="s">
        <v>32</v>
      </c>
      <c r="C7" s="2" t="s">
        <v>33</v>
      </c>
      <c r="D7" s="2" t="s">
        <v>41</v>
      </c>
      <c r="E7" s="3">
        <v>0.83750000000000002</v>
      </c>
      <c r="F7" s="2">
        <v>0.79169999999999996</v>
      </c>
      <c r="G7" s="3">
        <v>0.57889999999999997</v>
      </c>
      <c r="H7" s="3">
        <v>0.83819999999999995</v>
      </c>
      <c r="I7" s="2">
        <v>0.67179999999999995</v>
      </c>
      <c r="J7" s="3">
        <v>0.86609999999999998</v>
      </c>
      <c r="K7" s="2">
        <v>0.80710000000000004</v>
      </c>
      <c r="L7" s="3">
        <v>0.58109999999999995</v>
      </c>
      <c r="M7" s="3">
        <v>0.89390000000000003</v>
      </c>
      <c r="N7" s="2">
        <v>0.69350000000000001</v>
      </c>
      <c r="O7" s="3">
        <v>22.11</v>
      </c>
      <c r="P7" s="3">
        <v>28.47</v>
      </c>
      <c r="Q7" s="3">
        <v>0.41</v>
      </c>
      <c r="R7" s="3">
        <v>0.86460000000000004</v>
      </c>
      <c r="S7" s="2">
        <v>0.8125</v>
      </c>
      <c r="T7" s="3">
        <v>0.68420000000000003</v>
      </c>
      <c r="U7" s="3">
        <v>0.85289999999999999</v>
      </c>
      <c r="V7" s="2">
        <v>0.75360000000000005</v>
      </c>
      <c r="W7" s="3">
        <v>-8.1400000000000028E-2</v>
      </c>
      <c r="X7" s="3">
        <v>-9.0200000000000058E-2</v>
      </c>
      <c r="Y7" s="3">
        <v>-0.31580000000000008</v>
      </c>
      <c r="Z7" s="3">
        <v>4.4099999999999917E-2</v>
      </c>
      <c r="AA7" s="3">
        <v>-0.18900000000000011</v>
      </c>
      <c r="AB7" s="3">
        <v>81.569999999999993</v>
      </c>
    </row>
    <row r="8" spans="1:28" x14ac:dyDescent="0.25">
      <c r="A8" s="2" t="s">
        <v>28</v>
      </c>
      <c r="B8" s="2" t="s">
        <v>42</v>
      </c>
      <c r="C8" s="2" t="s">
        <v>43</v>
      </c>
      <c r="D8" s="2" t="s">
        <v>44</v>
      </c>
      <c r="E8" s="3">
        <v>0.53369999999999995</v>
      </c>
      <c r="F8" s="2">
        <v>0.45629999999999998</v>
      </c>
      <c r="G8" s="3">
        <v>1</v>
      </c>
      <c r="H8" s="3">
        <v>0</v>
      </c>
      <c r="I8" s="2">
        <v>0.62660000000000005</v>
      </c>
      <c r="J8" s="3">
        <v>0.46039999999999998</v>
      </c>
      <c r="K8" s="2">
        <v>0.53010000000000002</v>
      </c>
      <c r="L8" s="3">
        <v>1</v>
      </c>
      <c r="M8" s="3">
        <v>0</v>
      </c>
      <c r="N8" s="2">
        <v>0.69289999999999996</v>
      </c>
      <c r="O8" s="3">
        <v>8.9499999999999993</v>
      </c>
      <c r="P8" s="3">
        <v>4.01</v>
      </c>
      <c r="Q8" s="3">
        <v>0.67</v>
      </c>
      <c r="R8" s="3">
        <v>0.95720000000000005</v>
      </c>
      <c r="S8" s="2">
        <v>0.90159999999999996</v>
      </c>
      <c r="T8" s="3">
        <v>0.8982</v>
      </c>
      <c r="U8" s="3">
        <v>0.90449999999999997</v>
      </c>
      <c r="V8" s="2">
        <v>0.89290000000000003</v>
      </c>
      <c r="W8" s="3">
        <v>-0.44170000000000009</v>
      </c>
      <c r="X8" s="3">
        <v>-0.48089999999999999</v>
      </c>
      <c r="Y8" s="3">
        <v>5.9899999999999953E-2</v>
      </c>
      <c r="Z8" s="3">
        <v>-0.94469999999999998</v>
      </c>
      <c r="AA8" s="3">
        <v>-0.31069999999999998</v>
      </c>
      <c r="AB8" s="3">
        <v>34.17</v>
      </c>
    </row>
    <row r="9" spans="1:28" x14ac:dyDescent="0.25">
      <c r="A9" s="2" t="s">
        <v>37</v>
      </c>
      <c r="B9" s="2" t="s">
        <v>42</v>
      </c>
      <c r="C9" s="2" t="s">
        <v>43</v>
      </c>
      <c r="D9" s="2" t="s">
        <v>45</v>
      </c>
      <c r="E9" s="3">
        <v>0.47470000000000001</v>
      </c>
      <c r="F9" s="2">
        <v>0.88829999999999998</v>
      </c>
      <c r="G9" s="3">
        <v>0</v>
      </c>
      <c r="H9" s="3">
        <v>1</v>
      </c>
      <c r="I9" s="2">
        <v>0</v>
      </c>
      <c r="J9" s="3">
        <v>0.45500000000000002</v>
      </c>
      <c r="K9" s="2">
        <v>0.88939999999999997</v>
      </c>
      <c r="L9" s="3">
        <v>0</v>
      </c>
      <c r="M9" s="3">
        <v>1</v>
      </c>
      <c r="N9" s="2">
        <v>0</v>
      </c>
      <c r="O9" s="3">
        <v>8.9499999999999993</v>
      </c>
      <c r="P9" s="3">
        <v>53.32</v>
      </c>
      <c r="Q9" s="3">
        <v>0.99</v>
      </c>
      <c r="R9" s="3">
        <v>0.87250000000000005</v>
      </c>
      <c r="S9" s="2">
        <v>0.88959999999999995</v>
      </c>
      <c r="T9" s="3">
        <v>0.91669999999999996</v>
      </c>
      <c r="U9" s="3">
        <v>0.66539999999999999</v>
      </c>
      <c r="V9" s="2">
        <v>0.40050000000000002</v>
      </c>
      <c r="W9" s="3">
        <v>-0.41489999999999988</v>
      </c>
      <c r="X9" s="3">
        <v>-8.600000000000052E-3</v>
      </c>
      <c r="Y9" s="3">
        <v>-0.91069999999999995</v>
      </c>
      <c r="Z9" s="3">
        <v>0.28820000000000001</v>
      </c>
      <c r="AA9" s="3">
        <v>-0.43340000000000001</v>
      </c>
      <c r="AB9" s="3">
        <v>34.17</v>
      </c>
    </row>
    <row r="10" spans="1:28" x14ac:dyDescent="0.25">
      <c r="A10" s="2" t="s">
        <v>35</v>
      </c>
      <c r="B10" s="2" t="s">
        <v>42</v>
      </c>
      <c r="C10" s="2" t="s">
        <v>43</v>
      </c>
      <c r="D10" s="2" t="s">
        <v>46</v>
      </c>
      <c r="E10" s="3">
        <v>0.1784</v>
      </c>
      <c r="F10" s="2">
        <v>0.52780000000000005</v>
      </c>
      <c r="G10" s="3">
        <v>1</v>
      </c>
      <c r="H10" s="3">
        <v>0</v>
      </c>
      <c r="I10" s="2">
        <v>0.69089999999999996</v>
      </c>
      <c r="J10" s="3">
        <v>0.1603</v>
      </c>
      <c r="K10" s="2">
        <v>0.52859999999999996</v>
      </c>
      <c r="L10" s="3">
        <v>1</v>
      </c>
      <c r="M10" s="3">
        <v>0</v>
      </c>
      <c r="N10" s="2">
        <v>0.69159999999999999</v>
      </c>
      <c r="O10" s="3">
        <v>8.9499999999999993</v>
      </c>
      <c r="P10" s="3">
        <v>53.02</v>
      </c>
      <c r="Q10" s="3">
        <v>0.99</v>
      </c>
      <c r="R10" s="3">
        <v>0.64759999999999995</v>
      </c>
      <c r="S10" s="2">
        <v>0.54169999999999996</v>
      </c>
      <c r="T10" s="3">
        <v>0.67110000000000003</v>
      </c>
      <c r="U10" s="3">
        <v>0.51470000000000005</v>
      </c>
      <c r="V10" s="2">
        <v>0.63749999999999996</v>
      </c>
      <c r="W10" s="3">
        <v>-0.67959999999999998</v>
      </c>
      <c r="X10" s="3">
        <v>-0.21529999999999991</v>
      </c>
      <c r="Y10" s="3">
        <v>6.579999999999997E-2</v>
      </c>
      <c r="Z10" s="3">
        <v>-0.63239999999999996</v>
      </c>
      <c r="AA10" s="3">
        <v>-0.13469999999999999</v>
      </c>
      <c r="AB10" s="3">
        <v>34.17</v>
      </c>
    </row>
    <row r="11" spans="1:28" x14ac:dyDescent="0.25">
      <c r="A11" s="2" t="s">
        <v>37</v>
      </c>
      <c r="B11" s="2" t="s">
        <v>42</v>
      </c>
      <c r="C11" s="2" t="s">
        <v>47</v>
      </c>
      <c r="D11" s="2" t="s">
        <v>48</v>
      </c>
      <c r="E11" s="3">
        <v>0</v>
      </c>
      <c r="F11" s="2">
        <v>0.88829999999999998</v>
      </c>
      <c r="G11" s="3">
        <v>0</v>
      </c>
      <c r="H11" s="3">
        <v>1</v>
      </c>
      <c r="I11" s="2">
        <v>0</v>
      </c>
      <c r="J11" s="3">
        <v>0</v>
      </c>
      <c r="K11" s="2">
        <v>0.88939999999999997</v>
      </c>
      <c r="L11" s="3">
        <v>0</v>
      </c>
      <c r="M11" s="3">
        <v>1</v>
      </c>
      <c r="N11" s="2">
        <v>0</v>
      </c>
      <c r="O11" s="3">
        <v>2.78</v>
      </c>
      <c r="P11" s="3">
        <v>1.65</v>
      </c>
      <c r="Q11" s="3">
        <v>0.39</v>
      </c>
      <c r="R11" s="3">
        <v>0.85350000000000004</v>
      </c>
      <c r="S11" s="2">
        <v>0.88629999999999998</v>
      </c>
      <c r="T11" s="3">
        <v>0.86899999999999999</v>
      </c>
      <c r="U11" s="3">
        <v>0.70879999999999999</v>
      </c>
      <c r="V11" s="2">
        <v>0.41539999999999999</v>
      </c>
      <c r="W11" s="3">
        <v>-0.86570000000000003</v>
      </c>
      <c r="X11" s="3">
        <v>-5.2999999999999714E-3</v>
      </c>
      <c r="Y11" s="3">
        <v>-0.88690000000000002</v>
      </c>
      <c r="Z11" s="3">
        <v>0.30840000000000001</v>
      </c>
      <c r="AA11" s="3">
        <v>-0.4088</v>
      </c>
      <c r="AB11" s="3">
        <v>10.17</v>
      </c>
    </row>
  </sheetData>
  <conditionalFormatting sqref="E2:E11">
    <cfRule type="colorScale" priority="26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R2:R11">
    <cfRule type="colorScale" priority="27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W2:AA11">
    <cfRule type="cellIs" dxfId="54" priority="1" operator="between">
      <formula>-0.01</formula>
      <formula>0.01</formula>
    </cfRule>
    <cfRule type="cellIs" dxfId="53" priority="2" operator="between">
      <formula>-0.03</formula>
      <formula>-0.01</formula>
    </cfRule>
    <cfRule type="cellIs" dxfId="52" priority="3" operator="between">
      <formula>0.01</formula>
      <formula>0.03</formula>
    </cfRule>
    <cfRule type="cellIs" dxfId="51" priority="4" operator="lessThan">
      <formula>-0.03</formula>
    </cfRule>
    <cfRule type="cellIs" dxfId="50" priority="5" operator="greaterThan">
      <formula>0.03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6"/>
  <sheetViews>
    <sheetView tabSelected="1" topLeftCell="A84" zoomScale="130" zoomScaleNormal="130" workbookViewId="0">
      <pane xSplit="1" topLeftCell="B1" activePane="topRight" state="frozen"/>
      <selection pane="topRight" activeCell="H107" sqref="H107"/>
    </sheetView>
  </sheetViews>
  <sheetFormatPr baseColWidth="10" defaultColWidth="9.140625" defaultRowHeight="15" x14ac:dyDescent="0.25"/>
  <cols>
    <col min="1" max="1" width="16.28515625" customWidth="1"/>
    <col min="2" max="2" width="16" customWidth="1"/>
    <col min="3" max="3" width="35" customWidth="1"/>
    <col min="4" max="4" width="18" customWidth="1"/>
    <col min="5" max="6" width="12" customWidth="1"/>
    <col min="7" max="7" width="23" customWidth="1"/>
    <col min="8" max="9" width="12" customWidth="1"/>
    <col min="10" max="10" width="22" customWidth="1"/>
    <col min="11" max="12" width="16" customWidth="1"/>
    <col min="13" max="13" width="24" customWidth="1"/>
    <col min="14" max="15" width="12" customWidth="1"/>
    <col min="16" max="16" width="23" customWidth="1"/>
    <col min="17" max="18" width="12" customWidth="1"/>
    <col min="19" max="19" width="23" customWidth="1"/>
    <col min="20" max="21" width="15" customWidth="1"/>
    <col min="22" max="23" width="12" customWidth="1"/>
  </cols>
  <sheetData>
    <row r="1" spans="1:23" x14ac:dyDescent="0.25">
      <c r="A1" s="1" t="s">
        <v>0</v>
      </c>
      <c r="B1" s="1" t="s">
        <v>1</v>
      </c>
      <c r="C1" s="1" t="s">
        <v>49</v>
      </c>
      <c r="D1" s="1" t="s">
        <v>2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</row>
    <row r="2" spans="1:23" x14ac:dyDescent="0.25">
      <c r="A2" s="2" t="s">
        <v>28</v>
      </c>
      <c r="B2" s="2" t="s">
        <v>29</v>
      </c>
      <c r="C2" s="2" t="s">
        <v>69</v>
      </c>
      <c r="D2" s="2" t="s">
        <v>30</v>
      </c>
      <c r="E2" s="3">
        <v>0.95079999999999998</v>
      </c>
      <c r="F2" s="3">
        <v>0.9617</v>
      </c>
      <c r="G2" s="3">
        <v>1.0900000000000021E-2</v>
      </c>
      <c r="H2" s="3">
        <v>0.91620000000000001</v>
      </c>
      <c r="I2" s="3">
        <v>0.92810000000000004</v>
      </c>
      <c r="J2" s="3">
        <v>1.190000000000002E-2</v>
      </c>
      <c r="K2" s="3">
        <v>0.9849</v>
      </c>
      <c r="L2" s="3">
        <v>0.97489999999999999</v>
      </c>
      <c r="M2" s="3">
        <v>-1.0000000000000011E-2</v>
      </c>
      <c r="N2" s="3">
        <v>0.94740000000000002</v>
      </c>
      <c r="O2" s="3">
        <v>0.94799999999999995</v>
      </c>
      <c r="P2" s="3">
        <v>5.9999999999993392E-4</v>
      </c>
      <c r="Q2" s="3">
        <v>0.99339999999999995</v>
      </c>
      <c r="R2" s="3">
        <v>0.98729999999999996</v>
      </c>
      <c r="S2" s="3">
        <v>-6.0999999999999943E-3</v>
      </c>
      <c r="T2" s="3">
        <v>3.69</v>
      </c>
      <c r="U2" s="3">
        <v>17.420000000000002</v>
      </c>
      <c r="V2" s="4">
        <v>41.64</v>
      </c>
      <c r="W2" s="4">
        <v>10.95</v>
      </c>
    </row>
    <row r="3" spans="1:23" x14ac:dyDescent="0.25">
      <c r="A3" s="2" t="s">
        <v>28</v>
      </c>
      <c r="B3" s="2" t="s">
        <v>32</v>
      </c>
      <c r="C3" s="2" t="s">
        <v>71</v>
      </c>
      <c r="D3" s="2" t="s">
        <v>33</v>
      </c>
      <c r="E3" s="3">
        <v>0.9617</v>
      </c>
      <c r="F3" s="3">
        <v>0.75139999999999996</v>
      </c>
      <c r="G3" s="3">
        <v>-0.21029999999999999</v>
      </c>
      <c r="H3" s="3">
        <v>0.96409999999999996</v>
      </c>
      <c r="I3" s="3">
        <v>0.98199999999999998</v>
      </c>
      <c r="J3" s="3">
        <v>1.790000000000003E-2</v>
      </c>
      <c r="K3" s="3">
        <v>0.95979999999999999</v>
      </c>
      <c r="L3" s="3">
        <v>0.55779999999999996</v>
      </c>
      <c r="M3" s="3">
        <v>-0.40200000000000002</v>
      </c>
      <c r="N3" s="3">
        <v>0.95830000000000004</v>
      </c>
      <c r="O3" s="3">
        <v>0.78280000000000005</v>
      </c>
      <c r="P3" s="3">
        <v>-0.17549999999999999</v>
      </c>
      <c r="Q3" s="3">
        <v>0.98729999999999996</v>
      </c>
      <c r="R3" s="3">
        <v>0.95750000000000002</v>
      </c>
      <c r="S3" s="3">
        <v>-2.9799999999999941E-2</v>
      </c>
      <c r="T3" s="3">
        <v>12.27</v>
      </c>
      <c r="U3" s="3">
        <v>28.26</v>
      </c>
      <c r="V3" s="4">
        <v>81.569999999999993</v>
      </c>
      <c r="W3" s="4">
        <v>22.11</v>
      </c>
    </row>
    <row r="4" spans="1:23" x14ac:dyDescent="0.25">
      <c r="A4" s="2" t="s">
        <v>35</v>
      </c>
      <c r="B4" s="2" t="s">
        <v>29</v>
      </c>
      <c r="C4" s="2" t="s">
        <v>69</v>
      </c>
      <c r="D4" s="2" t="s">
        <v>30</v>
      </c>
      <c r="E4" s="3">
        <v>0.90969999999999995</v>
      </c>
      <c r="F4" s="3">
        <v>0.86109999999999998</v>
      </c>
      <c r="G4" s="3">
        <v>-4.8599999999999977E-2</v>
      </c>
      <c r="H4" s="3">
        <v>0.91180000000000005</v>
      </c>
      <c r="I4" s="3">
        <v>0.79410000000000003</v>
      </c>
      <c r="J4" s="3">
        <v>-0.1177</v>
      </c>
      <c r="K4" s="3">
        <v>0.89470000000000005</v>
      </c>
      <c r="L4" s="3">
        <v>0.92110000000000003</v>
      </c>
      <c r="M4" s="3">
        <v>2.6399999999999979E-2</v>
      </c>
      <c r="N4" s="3">
        <v>0.89859999999999995</v>
      </c>
      <c r="O4" s="3">
        <v>0.84379999999999999</v>
      </c>
      <c r="P4" s="3">
        <v>-5.479999999999996E-2</v>
      </c>
      <c r="Q4" s="3">
        <v>0.94269999999999998</v>
      </c>
      <c r="R4" s="3">
        <v>0.93230000000000002</v>
      </c>
      <c r="S4" s="3">
        <v>-1.039999999999996E-2</v>
      </c>
      <c r="T4" s="3">
        <v>3.51</v>
      </c>
      <c r="U4" s="3">
        <v>17.47</v>
      </c>
      <c r="V4" s="4">
        <v>41.64</v>
      </c>
      <c r="W4" s="4">
        <v>10.95</v>
      </c>
    </row>
    <row r="5" spans="1:23" x14ac:dyDescent="0.25">
      <c r="A5" s="2" t="s">
        <v>37</v>
      </c>
      <c r="B5" s="2" t="s">
        <v>29</v>
      </c>
      <c r="C5" s="2" t="s">
        <v>74</v>
      </c>
      <c r="D5" s="2" t="s">
        <v>38</v>
      </c>
      <c r="E5" s="3">
        <v>0.89759999999999995</v>
      </c>
      <c r="F5" s="3">
        <v>0.90029999999999999</v>
      </c>
      <c r="G5" s="3">
        <v>2.7000000000000361E-3</v>
      </c>
      <c r="H5" s="3">
        <v>0.84519999999999995</v>
      </c>
      <c r="I5" s="3">
        <v>0.86899999999999999</v>
      </c>
      <c r="J5" s="3">
        <v>2.380000000000004E-2</v>
      </c>
      <c r="K5" s="3">
        <v>0.75070000000000003</v>
      </c>
      <c r="L5" s="3">
        <v>0.74929999999999997</v>
      </c>
      <c r="M5" s="3">
        <v>-1.4000000000000681E-3</v>
      </c>
      <c r="N5" s="3">
        <v>0.44169999999999998</v>
      </c>
      <c r="O5" s="3">
        <v>0.44990000000000002</v>
      </c>
      <c r="P5" s="3">
        <v>8.2000000000000406E-3</v>
      </c>
      <c r="Q5" s="3">
        <v>0.88370000000000004</v>
      </c>
      <c r="R5" s="3">
        <v>0.89739999999999998</v>
      </c>
      <c r="S5" s="3">
        <v>1.3699999999999929E-2</v>
      </c>
      <c r="T5" s="3">
        <v>3.09</v>
      </c>
      <c r="U5" s="3">
        <v>3.56</v>
      </c>
      <c r="V5" s="4">
        <v>6.28</v>
      </c>
      <c r="W5" s="4">
        <v>1.98</v>
      </c>
    </row>
    <row r="6" spans="1:23" x14ac:dyDescent="0.25">
      <c r="A6" s="2" t="s">
        <v>37</v>
      </c>
      <c r="B6" s="2" t="s">
        <v>32</v>
      </c>
      <c r="C6" s="2" t="s">
        <v>71</v>
      </c>
      <c r="D6" s="2" t="s">
        <v>33</v>
      </c>
      <c r="E6" s="3">
        <v>0.90359999999999996</v>
      </c>
      <c r="F6" s="3">
        <v>0.52929999999999999</v>
      </c>
      <c r="G6" s="3">
        <v>-0.37430000000000002</v>
      </c>
      <c r="H6" s="3">
        <v>0.77380000000000004</v>
      </c>
      <c r="I6" s="3">
        <v>0.98209999999999997</v>
      </c>
      <c r="J6" s="3">
        <v>0.2082999999999999</v>
      </c>
      <c r="K6" s="3">
        <v>0.82630000000000003</v>
      </c>
      <c r="L6" s="3">
        <v>0.41620000000000001</v>
      </c>
      <c r="M6" s="3">
        <v>-0.41010000000000002</v>
      </c>
      <c r="N6" s="3">
        <v>0.49059999999999998</v>
      </c>
      <c r="O6" s="3">
        <v>0.29649999999999999</v>
      </c>
      <c r="P6" s="3">
        <v>-0.19409999999999999</v>
      </c>
      <c r="Q6" s="3">
        <v>0.89249999999999996</v>
      </c>
      <c r="R6" s="3">
        <v>0.84250000000000003</v>
      </c>
      <c r="S6" s="3">
        <v>-4.9999999999999933E-2</v>
      </c>
      <c r="T6" s="3">
        <v>13.22</v>
      </c>
      <c r="U6" s="3">
        <v>28.69</v>
      </c>
      <c r="V6" s="4">
        <v>81.569999999999993</v>
      </c>
      <c r="W6" s="4">
        <v>22.11</v>
      </c>
    </row>
    <row r="7" spans="1:23" x14ac:dyDescent="0.25">
      <c r="A7" s="2" t="s">
        <v>35</v>
      </c>
      <c r="B7" s="2" t="s">
        <v>32</v>
      </c>
      <c r="C7" s="2" t="s">
        <v>71</v>
      </c>
      <c r="D7" s="2" t="s">
        <v>33</v>
      </c>
      <c r="E7" s="3">
        <v>0.88190000000000002</v>
      </c>
      <c r="F7" s="3">
        <v>0.79169999999999996</v>
      </c>
      <c r="G7" s="3">
        <v>-9.0200000000000058E-2</v>
      </c>
      <c r="H7" s="3">
        <v>0.89470000000000005</v>
      </c>
      <c r="I7" s="3">
        <v>0.57889999999999997</v>
      </c>
      <c r="J7" s="3">
        <v>-0.31580000000000008</v>
      </c>
      <c r="K7" s="3">
        <v>0.79410000000000003</v>
      </c>
      <c r="L7" s="3">
        <v>0.83819999999999995</v>
      </c>
      <c r="M7" s="3">
        <v>4.4099999999999917E-2</v>
      </c>
      <c r="N7" s="3">
        <v>0.86080000000000001</v>
      </c>
      <c r="O7" s="3">
        <v>0.67179999999999995</v>
      </c>
      <c r="P7" s="3">
        <v>-0.18900000000000011</v>
      </c>
      <c r="Q7" s="3">
        <v>0.91890000000000005</v>
      </c>
      <c r="R7" s="3">
        <v>0.83750000000000002</v>
      </c>
      <c r="S7" s="3">
        <v>-8.1400000000000028E-2</v>
      </c>
      <c r="T7" s="3">
        <v>11.64</v>
      </c>
      <c r="U7" s="3">
        <v>28.47</v>
      </c>
      <c r="V7" s="4">
        <v>81.569999999999993</v>
      </c>
      <c r="W7" s="4">
        <v>22.11</v>
      </c>
    </row>
    <row r="8" spans="1:23" x14ac:dyDescent="0.25">
      <c r="A8" s="2" t="s">
        <v>28</v>
      </c>
      <c r="B8" s="2" t="s">
        <v>42</v>
      </c>
      <c r="C8" s="2" t="s">
        <v>78</v>
      </c>
      <c r="D8" s="2" t="s">
        <v>43</v>
      </c>
      <c r="E8" s="3">
        <v>0.93720000000000003</v>
      </c>
      <c r="F8" s="3">
        <v>0.45629999999999998</v>
      </c>
      <c r="G8" s="3">
        <v>-0.48089999999999999</v>
      </c>
      <c r="H8" s="3">
        <v>0.94010000000000005</v>
      </c>
      <c r="I8" s="3">
        <v>1</v>
      </c>
      <c r="J8" s="3">
        <v>5.9899999999999953E-2</v>
      </c>
      <c r="K8" s="3">
        <v>0.94469999999999998</v>
      </c>
      <c r="L8" s="3">
        <v>0</v>
      </c>
      <c r="M8" s="3">
        <v>-0.94469999999999998</v>
      </c>
      <c r="N8" s="3">
        <v>0.93730000000000002</v>
      </c>
      <c r="O8" s="3">
        <v>0.62660000000000005</v>
      </c>
      <c r="P8" s="3">
        <v>-0.31069999999999998</v>
      </c>
      <c r="Q8" s="3">
        <v>0.97540000000000004</v>
      </c>
      <c r="R8" s="3">
        <v>0.53369999999999995</v>
      </c>
      <c r="S8" s="3">
        <v>-0.44170000000000009</v>
      </c>
      <c r="T8" s="3">
        <v>5.15</v>
      </c>
      <c r="U8" s="3">
        <v>4.01</v>
      </c>
      <c r="V8" s="4">
        <v>34.17</v>
      </c>
      <c r="W8" s="4">
        <v>8.9499999999999993</v>
      </c>
    </row>
    <row r="9" spans="1:23" x14ac:dyDescent="0.25">
      <c r="A9" s="2" t="s">
        <v>37</v>
      </c>
      <c r="B9" s="2" t="s">
        <v>42</v>
      </c>
      <c r="C9" s="2" t="s">
        <v>78</v>
      </c>
      <c r="D9" s="2" t="s">
        <v>43</v>
      </c>
      <c r="E9" s="3">
        <v>0.89690000000000003</v>
      </c>
      <c r="F9" s="3">
        <v>0.88829999999999998</v>
      </c>
      <c r="G9" s="3">
        <v>-8.600000000000052E-3</v>
      </c>
      <c r="H9" s="3">
        <v>0.91069999999999995</v>
      </c>
      <c r="I9" s="3">
        <v>0</v>
      </c>
      <c r="J9" s="3">
        <v>-0.91069999999999995</v>
      </c>
      <c r="K9" s="3">
        <v>0.71179999999999999</v>
      </c>
      <c r="L9" s="3">
        <v>1</v>
      </c>
      <c r="M9" s="3">
        <v>0.28820000000000001</v>
      </c>
      <c r="N9" s="3">
        <v>0.43340000000000001</v>
      </c>
      <c r="O9" s="3">
        <v>0</v>
      </c>
      <c r="P9" s="3">
        <v>-0.43340000000000001</v>
      </c>
      <c r="Q9" s="3">
        <v>0.88959999999999995</v>
      </c>
      <c r="R9" s="3">
        <v>0.47470000000000001</v>
      </c>
      <c r="S9" s="3">
        <v>-0.41489999999999988</v>
      </c>
      <c r="T9" s="3">
        <v>7.69</v>
      </c>
      <c r="U9" s="3">
        <v>53.32</v>
      </c>
      <c r="V9" s="4">
        <v>34.17</v>
      </c>
      <c r="W9" s="4">
        <v>8.9499999999999993</v>
      </c>
    </row>
    <row r="10" spans="1:23" x14ac:dyDescent="0.25">
      <c r="A10" s="2" t="s">
        <v>35</v>
      </c>
      <c r="B10" s="2" t="s">
        <v>42</v>
      </c>
      <c r="C10" s="2" t="s">
        <v>78</v>
      </c>
      <c r="D10" s="2" t="s">
        <v>43</v>
      </c>
      <c r="E10" s="3">
        <v>0.74309999999999998</v>
      </c>
      <c r="F10" s="3">
        <v>0.52780000000000005</v>
      </c>
      <c r="G10" s="3">
        <v>-0.21529999999999991</v>
      </c>
      <c r="H10" s="3">
        <v>0.93420000000000003</v>
      </c>
      <c r="I10" s="3">
        <v>1</v>
      </c>
      <c r="J10" s="3">
        <v>6.579999999999997E-2</v>
      </c>
      <c r="K10" s="3">
        <v>0.63239999999999996</v>
      </c>
      <c r="L10" s="3">
        <v>0</v>
      </c>
      <c r="M10" s="3">
        <v>-0.63239999999999996</v>
      </c>
      <c r="N10" s="3">
        <v>0.8256</v>
      </c>
      <c r="O10" s="3">
        <v>0.69089999999999996</v>
      </c>
      <c r="P10" s="3">
        <v>-0.13469999999999999</v>
      </c>
      <c r="Q10" s="3">
        <v>0.85799999999999998</v>
      </c>
      <c r="R10" s="3">
        <v>0.1784</v>
      </c>
      <c r="S10" s="3">
        <v>-0.67959999999999998</v>
      </c>
      <c r="T10" s="3">
        <v>5.35</v>
      </c>
      <c r="U10" s="3">
        <v>53.02</v>
      </c>
      <c r="V10" s="4">
        <v>34.17</v>
      </c>
      <c r="W10" s="4">
        <v>8.9499999999999993</v>
      </c>
    </row>
    <row r="11" spans="1:23" x14ac:dyDescent="0.25">
      <c r="A11" s="2" t="s">
        <v>37</v>
      </c>
      <c r="B11" s="2" t="s">
        <v>42</v>
      </c>
      <c r="C11" s="2" t="s">
        <v>82</v>
      </c>
      <c r="D11" s="2" t="s">
        <v>47</v>
      </c>
      <c r="E11" s="3">
        <v>0.89359999999999995</v>
      </c>
      <c r="F11" s="3">
        <v>0.88829999999999998</v>
      </c>
      <c r="G11" s="3">
        <v>-5.2999999999999714E-3</v>
      </c>
      <c r="H11" s="3">
        <v>0.88690000000000002</v>
      </c>
      <c r="I11" s="3">
        <v>0</v>
      </c>
      <c r="J11" s="3">
        <v>-0.88690000000000002</v>
      </c>
      <c r="K11" s="3">
        <v>0.69159999999999999</v>
      </c>
      <c r="L11" s="3">
        <v>1</v>
      </c>
      <c r="M11" s="3">
        <v>0.30840000000000001</v>
      </c>
      <c r="N11" s="3">
        <v>0.4088</v>
      </c>
      <c r="O11" s="3">
        <v>0</v>
      </c>
      <c r="P11" s="3">
        <v>-0.4088</v>
      </c>
      <c r="Q11" s="3">
        <v>0.86570000000000003</v>
      </c>
      <c r="R11" s="3">
        <v>0</v>
      </c>
      <c r="S11" s="3">
        <v>-0.86570000000000003</v>
      </c>
      <c r="T11" s="3">
        <v>3.41</v>
      </c>
      <c r="U11" s="3">
        <v>1.65</v>
      </c>
      <c r="V11" s="4">
        <v>10.17</v>
      </c>
      <c r="W11" s="4">
        <v>2.78</v>
      </c>
    </row>
    <row r="15" spans="1:23" x14ac:dyDescent="0.25">
      <c r="A15" s="1" t="s">
        <v>0</v>
      </c>
      <c r="B15" s="1" t="s">
        <v>1</v>
      </c>
      <c r="C15" s="1" t="s">
        <v>49</v>
      </c>
      <c r="D15" s="1" t="s">
        <v>2</v>
      </c>
      <c r="E15" s="1" t="s">
        <v>50</v>
      </c>
      <c r="F15" s="1" t="s">
        <v>51</v>
      </c>
      <c r="G15" s="1" t="s">
        <v>52</v>
      </c>
    </row>
    <row r="16" spans="1:23" x14ac:dyDescent="0.25">
      <c r="A16" s="2" t="s">
        <v>28</v>
      </c>
      <c r="B16" s="2" t="s">
        <v>29</v>
      </c>
      <c r="C16" s="2" t="s">
        <v>69</v>
      </c>
      <c r="D16" s="2" t="s">
        <v>30</v>
      </c>
      <c r="E16" s="3">
        <v>0.95079999999999998</v>
      </c>
      <c r="F16" s="3">
        <v>0.9617</v>
      </c>
      <c r="G16" s="3">
        <v>1.09E-2</v>
      </c>
    </row>
    <row r="17" spans="1:7" x14ac:dyDescent="0.25">
      <c r="A17" s="2" t="s">
        <v>28</v>
      </c>
      <c r="B17" s="2" t="s">
        <v>32</v>
      </c>
      <c r="C17" s="2" t="s">
        <v>71</v>
      </c>
      <c r="D17" s="2" t="s">
        <v>33</v>
      </c>
      <c r="E17" s="3">
        <v>0.9617</v>
      </c>
      <c r="F17" s="3">
        <v>0.75139999999999996</v>
      </c>
      <c r="G17" s="3">
        <v>-0.21029999999999999</v>
      </c>
    </row>
    <row r="18" spans="1:7" x14ac:dyDescent="0.25">
      <c r="A18" s="2" t="s">
        <v>35</v>
      </c>
      <c r="B18" s="2" t="s">
        <v>29</v>
      </c>
      <c r="C18" s="2" t="s">
        <v>69</v>
      </c>
      <c r="D18" s="2" t="s">
        <v>30</v>
      </c>
      <c r="E18" s="3">
        <v>0.90969999999999995</v>
      </c>
      <c r="F18" s="3">
        <v>0.86109999999999998</v>
      </c>
      <c r="G18" s="3">
        <v>-4.8599999999999977E-2</v>
      </c>
    </row>
    <row r="19" spans="1:7" x14ac:dyDescent="0.25">
      <c r="A19" s="2" t="s">
        <v>37</v>
      </c>
      <c r="B19" s="2" t="s">
        <v>29</v>
      </c>
      <c r="C19" s="2" t="s">
        <v>74</v>
      </c>
      <c r="D19" s="2" t="s">
        <v>38</v>
      </c>
      <c r="E19" s="3">
        <v>0.89759999999999995</v>
      </c>
      <c r="F19" s="3">
        <v>0.90029999999999999</v>
      </c>
      <c r="G19" s="3">
        <v>2.7000000000000361E-3</v>
      </c>
    </row>
    <row r="20" spans="1:7" x14ac:dyDescent="0.25">
      <c r="A20" s="2" t="s">
        <v>37</v>
      </c>
      <c r="B20" s="2" t="s">
        <v>32</v>
      </c>
      <c r="C20" s="2" t="s">
        <v>71</v>
      </c>
      <c r="D20" s="2" t="s">
        <v>33</v>
      </c>
      <c r="E20" s="3">
        <v>0.90359999999999996</v>
      </c>
      <c r="F20" s="3">
        <v>0.52929999999999999</v>
      </c>
      <c r="G20" s="3">
        <v>-0.37430000000000002</v>
      </c>
    </row>
    <row r="21" spans="1:7" x14ac:dyDescent="0.25">
      <c r="A21" s="2" t="s">
        <v>35</v>
      </c>
      <c r="B21" s="2" t="s">
        <v>32</v>
      </c>
      <c r="C21" s="2" t="s">
        <v>71</v>
      </c>
      <c r="D21" s="2" t="s">
        <v>33</v>
      </c>
      <c r="E21" s="3">
        <v>0.88190000000000002</v>
      </c>
      <c r="F21" s="3">
        <v>0.79169999999999996</v>
      </c>
      <c r="G21" s="3">
        <v>-9.0200000000000058E-2</v>
      </c>
    </row>
    <row r="22" spans="1:7" x14ac:dyDescent="0.25">
      <c r="A22" s="2" t="s">
        <v>28</v>
      </c>
      <c r="B22" s="2" t="s">
        <v>42</v>
      </c>
      <c r="C22" s="2" t="s">
        <v>78</v>
      </c>
      <c r="D22" s="2" t="s">
        <v>43</v>
      </c>
      <c r="E22" s="3">
        <v>0.93720000000000003</v>
      </c>
      <c r="F22" s="3">
        <v>0.45629999999999998</v>
      </c>
      <c r="G22" s="3">
        <v>-0.48089999999999999</v>
      </c>
    </row>
    <row r="23" spans="1:7" x14ac:dyDescent="0.25">
      <c r="A23" s="2" t="s">
        <v>37</v>
      </c>
      <c r="B23" s="2" t="s">
        <v>42</v>
      </c>
      <c r="C23" s="2" t="s">
        <v>78</v>
      </c>
      <c r="D23" s="2" t="s">
        <v>43</v>
      </c>
      <c r="E23" s="3">
        <v>0.89690000000000003</v>
      </c>
      <c r="F23" s="3">
        <v>0.88829999999999998</v>
      </c>
      <c r="G23" s="3">
        <v>-8.600000000000052E-3</v>
      </c>
    </row>
    <row r="24" spans="1:7" x14ac:dyDescent="0.25">
      <c r="A24" s="2" t="s">
        <v>35</v>
      </c>
      <c r="B24" s="2" t="s">
        <v>42</v>
      </c>
      <c r="C24" s="2" t="s">
        <v>78</v>
      </c>
      <c r="D24" s="2" t="s">
        <v>43</v>
      </c>
      <c r="E24" s="3">
        <v>0.74309999999999998</v>
      </c>
      <c r="F24" s="3">
        <v>0.52780000000000005</v>
      </c>
      <c r="G24" s="3">
        <v>-0.21529999999999991</v>
      </c>
    </row>
    <row r="25" spans="1:7" x14ac:dyDescent="0.25">
      <c r="A25" s="2" t="s">
        <v>37</v>
      </c>
      <c r="B25" s="2" t="s">
        <v>42</v>
      </c>
      <c r="C25" s="2" t="s">
        <v>82</v>
      </c>
      <c r="D25" s="2" t="s">
        <v>47</v>
      </c>
      <c r="E25" s="3">
        <v>0.89359999999999995</v>
      </c>
      <c r="F25" s="3">
        <v>0.88829999999999998</v>
      </c>
      <c r="G25" s="3">
        <v>-5.2999999999999714E-3</v>
      </c>
    </row>
    <row r="29" spans="1:7" x14ac:dyDescent="0.25">
      <c r="A29" s="1" t="s">
        <v>0</v>
      </c>
      <c r="B29" s="1" t="s">
        <v>1</v>
      </c>
      <c r="C29" s="1" t="s">
        <v>49</v>
      </c>
      <c r="D29" s="1" t="s">
        <v>2</v>
      </c>
      <c r="E29" s="1" t="s">
        <v>53</v>
      </c>
      <c r="F29" s="1" t="s">
        <v>54</v>
      </c>
      <c r="G29" s="1" t="s">
        <v>55</v>
      </c>
    </row>
    <row r="30" spans="1:7" x14ac:dyDescent="0.25">
      <c r="A30" s="2" t="s">
        <v>28</v>
      </c>
      <c r="B30" s="2" t="s">
        <v>29</v>
      </c>
      <c r="C30" s="2" t="s">
        <v>69</v>
      </c>
      <c r="D30" s="2" t="s">
        <v>30</v>
      </c>
      <c r="E30" s="3">
        <v>0.91620000000000001</v>
      </c>
      <c r="F30" s="3">
        <v>0.92810000000000004</v>
      </c>
      <c r="G30" s="3">
        <v>1.190000000000002E-2</v>
      </c>
    </row>
    <row r="31" spans="1:7" x14ac:dyDescent="0.25">
      <c r="A31" s="2" t="s">
        <v>28</v>
      </c>
      <c r="B31" s="2" t="s">
        <v>32</v>
      </c>
      <c r="C31" s="2" t="s">
        <v>71</v>
      </c>
      <c r="D31" s="2" t="s">
        <v>33</v>
      </c>
      <c r="E31" s="3">
        <v>0.96409999999999996</v>
      </c>
      <c r="F31" s="3">
        <v>0.98199999999999998</v>
      </c>
      <c r="G31" s="3">
        <v>1.790000000000003E-2</v>
      </c>
    </row>
    <row r="32" spans="1:7" x14ac:dyDescent="0.25">
      <c r="A32" s="2" t="s">
        <v>35</v>
      </c>
      <c r="B32" s="2" t="s">
        <v>29</v>
      </c>
      <c r="C32" s="2" t="s">
        <v>69</v>
      </c>
      <c r="D32" s="2" t="s">
        <v>30</v>
      </c>
      <c r="E32" s="3">
        <v>0.91180000000000005</v>
      </c>
      <c r="F32" s="3">
        <v>0.79410000000000003</v>
      </c>
      <c r="G32" s="3">
        <v>-0.1177</v>
      </c>
    </row>
    <row r="33" spans="1:7" x14ac:dyDescent="0.25">
      <c r="A33" s="2" t="s">
        <v>37</v>
      </c>
      <c r="B33" s="2" t="s">
        <v>29</v>
      </c>
      <c r="C33" s="2" t="s">
        <v>74</v>
      </c>
      <c r="D33" s="2" t="s">
        <v>38</v>
      </c>
      <c r="E33" s="3">
        <v>0.84519999999999995</v>
      </c>
      <c r="F33" s="3">
        <v>0.86899999999999999</v>
      </c>
      <c r="G33" s="3">
        <v>2.380000000000004E-2</v>
      </c>
    </row>
    <row r="34" spans="1:7" x14ac:dyDescent="0.25">
      <c r="A34" s="2" t="s">
        <v>37</v>
      </c>
      <c r="B34" s="2" t="s">
        <v>32</v>
      </c>
      <c r="C34" s="2" t="s">
        <v>71</v>
      </c>
      <c r="D34" s="2" t="s">
        <v>33</v>
      </c>
      <c r="E34" s="3">
        <v>0.77380000000000004</v>
      </c>
      <c r="F34" s="3">
        <v>0.98209999999999997</v>
      </c>
      <c r="G34" s="3">
        <v>0.2082999999999999</v>
      </c>
    </row>
    <row r="35" spans="1:7" x14ac:dyDescent="0.25">
      <c r="A35" s="2" t="s">
        <v>35</v>
      </c>
      <c r="B35" s="2" t="s">
        <v>32</v>
      </c>
      <c r="C35" s="2" t="s">
        <v>71</v>
      </c>
      <c r="D35" s="2" t="s">
        <v>33</v>
      </c>
      <c r="E35" s="3">
        <v>0.89470000000000005</v>
      </c>
      <c r="F35" s="3">
        <v>0.57889999999999997</v>
      </c>
      <c r="G35" s="3">
        <v>-0.31580000000000008</v>
      </c>
    </row>
    <row r="36" spans="1:7" x14ac:dyDescent="0.25">
      <c r="A36" s="2" t="s">
        <v>28</v>
      </c>
      <c r="B36" s="2" t="s">
        <v>42</v>
      </c>
      <c r="C36" s="2" t="s">
        <v>78</v>
      </c>
      <c r="D36" s="2" t="s">
        <v>43</v>
      </c>
      <c r="E36" s="3">
        <v>0.94010000000000005</v>
      </c>
      <c r="F36" s="3">
        <v>1</v>
      </c>
      <c r="G36" s="3">
        <v>5.9899999999999953E-2</v>
      </c>
    </row>
    <row r="37" spans="1:7" x14ac:dyDescent="0.25">
      <c r="A37" s="2" t="s">
        <v>37</v>
      </c>
      <c r="B37" s="2" t="s">
        <v>42</v>
      </c>
      <c r="C37" s="2" t="s">
        <v>78</v>
      </c>
      <c r="D37" s="2" t="s">
        <v>43</v>
      </c>
      <c r="E37" s="3">
        <v>0.91069999999999995</v>
      </c>
      <c r="F37" s="3">
        <v>0</v>
      </c>
      <c r="G37" s="3">
        <v>-0.91069999999999995</v>
      </c>
    </row>
    <row r="38" spans="1:7" x14ac:dyDescent="0.25">
      <c r="A38" s="2" t="s">
        <v>35</v>
      </c>
      <c r="B38" s="2" t="s">
        <v>42</v>
      </c>
      <c r="C38" s="2" t="s">
        <v>78</v>
      </c>
      <c r="D38" s="2" t="s">
        <v>43</v>
      </c>
      <c r="E38" s="3">
        <v>0.93420000000000003</v>
      </c>
      <c r="F38" s="3">
        <v>1</v>
      </c>
      <c r="G38" s="3">
        <v>6.579999999999997E-2</v>
      </c>
    </row>
    <row r="39" spans="1:7" x14ac:dyDescent="0.25">
      <c r="A39" s="2" t="s">
        <v>37</v>
      </c>
      <c r="B39" s="2" t="s">
        <v>42</v>
      </c>
      <c r="C39" s="2" t="s">
        <v>82</v>
      </c>
      <c r="D39" s="2" t="s">
        <v>47</v>
      </c>
      <c r="E39" s="3">
        <v>0.88690000000000002</v>
      </c>
      <c r="F39" s="3">
        <v>0</v>
      </c>
      <c r="G39" s="3">
        <v>-0.88690000000000002</v>
      </c>
    </row>
    <row r="46" spans="1:7" ht="30" x14ac:dyDescent="0.25">
      <c r="A46" s="1" t="s">
        <v>0</v>
      </c>
      <c r="B46" s="1" t="s">
        <v>1</v>
      </c>
      <c r="C46" s="1" t="s">
        <v>49</v>
      </c>
      <c r="D46" s="1" t="s">
        <v>2</v>
      </c>
      <c r="E46" s="1" t="s">
        <v>56</v>
      </c>
      <c r="F46" s="1" t="s">
        <v>57</v>
      </c>
      <c r="G46" s="1" t="s">
        <v>58</v>
      </c>
    </row>
    <row r="47" spans="1:7" x14ac:dyDescent="0.25">
      <c r="A47" s="2" t="s">
        <v>28</v>
      </c>
      <c r="B47" s="2" t="s">
        <v>29</v>
      </c>
      <c r="C47" s="2" t="s">
        <v>69</v>
      </c>
      <c r="D47" s="2" t="s">
        <v>30</v>
      </c>
      <c r="E47" s="3">
        <v>0.9849</v>
      </c>
      <c r="F47" s="3">
        <v>0.97489999999999999</v>
      </c>
      <c r="G47" s="3">
        <v>-1.0000000000000011E-2</v>
      </c>
    </row>
    <row r="48" spans="1:7" x14ac:dyDescent="0.25">
      <c r="A48" s="2" t="s">
        <v>28</v>
      </c>
      <c r="B48" s="2" t="s">
        <v>32</v>
      </c>
      <c r="C48" s="2" t="s">
        <v>71</v>
      </c>
      <c r="D48" s="2" t="s">
        <v>33</v>
      </c>
      <c r="E48" s="3">
        <v>0.95979999999999999</v>
      </c>
      <c r="F48" s="3">
        <v>0.55779999999999996</v>
      </c>
      <c r="G48" s="3">
        <v>-0.40200000000000002</v>
      </c>
    </row>
    <row r="49" spans="1:7" x14ac:dyDescent="0.25">
      <c r="A49" s="2" t="s">
        <v>35</v>
      </c>
      <c r="B49" s="2" t="s">
        <v>29</v>
      </c>
      <c r="C49" s="2" t="s">
        <v>69</v>
      </c>
      <c r="D49" s="2" t="s">
        <v>30</v>
      </c>
      <c r="E49" s="3">
        <v>0.89470000000000005</v>
      </c>
      <c r="F49" s="3">
        <v>0.92110000000000003</v>
      </c>
      <c r="G49" s="3">
        <v>2.6399999999999979E-2</v>
      </c>
    </row>
    <row r="50" spans="1:7" x14ac:dyDescent="0.25">
      <c r="A50" s="2" t="s">
        <v>37</v>
      </c>
      <c r="B50" s="2" t="s">
        <v>29</v>
      </c>
      <c r="C50" s="2" t="s">
        <v>74</v>
      </c>
      <c r="D50" s="2" t="s">
        <v>38</v>
      </c>
      <c r="E50" s="3">
        <v>0.75070000000000003</v>
      </c>
      <c r="F50" s="3">
        <v>0.74929999999999997</v>
      </c>
      <c r="G50" s="3">
        <v>-1.4000000000000681E-3</v>
      </c>
    </row>
    <row r="51" spans="1:7" x14ac:dyDescent="0.25">
      <c r="A51" s="2" t="s">
        <v>37</v>
      </c>
      <c r="B51" s="2" t="s">
        <v>32</v>
      </c>
      <c r="C51" s="2" t="s">
        <v>71</v>
      </c>
      <c r="D51" s="2" t="s">
        <v>33</v>
      </c>
      <c r="E51" s="3">
        <v>0.82630000000000003</v>
      </c>
      <c r="F51" s="3">
        <v>0.41620000000000001</v>
      </c>
      <c r="G51" s="3">
        <v>-0.41010000000000002</v>
      </c>
    </row>
    <row r="52" spans="1:7" x14ac:dyDescent="0.25">
      <c r="A52" s="2" t="s">
        <v>35</v>
      </c>
      <c r="B52" s="2" t="s">
        <v>32</v>
      </c>
      <c r="C52" s="2" t="s">
        <v>71</v>
      </c>
      <c r="D52" s="2" t="s">
        <v>33</v>
      </c>
      <c r="E52" s="3">
        <v>0.79410000000000003</v>
      </c>
      <c r="F52" s="3">
        <v>0.83819999999999995</v>
      </c>
      <c r="G52" s="3">
        <v>4.4099999999999917E-2</v>
      </c>
    </row>
    <row r="53" spans="1:7" x14ac:dyDescent="0.25">
      <c r="A53" s="2" t="s">
        <v>28</v>
      </c>
      <c r="B53" s="2" t="s">
        <v>42</v>
      </c>
      <c r="C53" s="2" t="s">
        <v>78</v>
      </c>
      <c r="D53" s="2" t="s">
        <v>43</v>
      </c>
      <c r="E53" s="3">
        <v>0.94469999999999998</v>
      </c>
      <c r="F53" s="3">
        <v>0</v>
      </c>
      <c r="G53" s="3">
        <v>-0.94469999999999998</v>
      </c>
    </row>
    <row r="54" spans="1:7" x14ac:dyDescent="0.25">
      <c r="A54" s="2" t="s">
        <v>37</v>
      </c>
      <c r="B54" s="2" t="s">
        <v>42</v>
      </c>
      <c r="C54" s="2" t="s">
        <v>78</v>
      </c>
      <c r="D54" s="2" t="s">
        <v>43</v>
      </c>
      <c r="E54" s="3">
        <v>0.71179999999999999</v>
      </c>
      <c r="F54" s="3">
        <v>1</v>
      </c>
      <c r="G54" s="3">
        <v>0.28820000000000001</v>
      </c>
    </row>
    <row r="55" spans="1:7" x14ac:dyDescent="0.25">
      <c r="A55" s="2" t="s">
        <v>35</v>
      </c>
      <c r="B55" s="2" t="s">
        <v>42</v>
      </c>
      <c r="C55" s="2" t="s">
        <v>78</v>
      </c>
      <c r="D55" s="2" t="s">
        <v>43</v>
      </c>
      <c r="E55" s="3">
        <v>0.63239999999999996</v>
      </c>
      <c r="F55" s="3">
        <v>0</v>
      </c>
      <c r="G55" s="3">
        <v>-0.63239999999999996</v>
      </c>
    </row>
    <row r="56" spans="1:7" x14ac:dyDescent="0.25">
      <c r="A56" s="2" t="s">
        <v>37</v>
      </c>
      <c r="B56" s="2" t="s">
        <v>42</v>
      </c>
      <c r="C56" s="2" t="s">
        <v>82</v>
      </c>
      <c r="D56" s="2" t="s">
        <v>47</v>
      </c>
      <c r="E56" s="3">
        <v>0.69159999999999999</v>
      </c>
      <c r="F56" s="3">
        <v>1</v>
      </c>
      <c r="G56" s="3">
        <v>0.30840000000000001</v>
      </c>
    </row>
    <row r="61" spans="1:7" x14ac:dyDescent="0.25">
      <c r="A61" s="1" t="s">
        <v>0</v>
      </c>
      <c r="B61" s="1" t="s">
        <v>1</v>
      </c>
      <c r="C61" s="1" t="s">
        <v>49</v>
      </c>
      <c r="D61" s="1" t="s">
        <v>2</v>
      </c>
      <c r="E61" s="1" t="s">
        <v>59</v>
      </c>
      <c r="F61" s="1" t="s">
        <v>60</v>
      </c>
      <c r="G61" s="1" t="s">
        <v>61</v>
      </c>
    </row>
    <row r="62" spans="1:7" x14ac:dyDescent="0.25">
      <c r="A62" s="2" t="s">
        <v>28</v>
      </c>
      <c r="B62" s="2" t="s">
        <v>29</v>
      </c>
      <c r="C62" s="2" t="s">
        <v>69</v>
      </c>
      <c r="D62" s="2" t="s">
        <v>30</v>
      </c>
      <c r="E62" s="3">
        <v>0.94740000000000002</v>
      </c>
      <c r="F62" s="3">
        <v>0.94799999999999995</v>
      </c>
      <c r="G62" s="3">
        <v>5.9999999999993392E-4</v>
      </c>
    </row>
    <row r="63" spans="1:7" x14ac:dyDescent="0.25">
      <c r="A63" s="2" t="s">
        <v>28</v>
      </c>
      <c r="B63" s="2" t="s">
        <v>32</v>
      </c>
      <c r="C63" s="2" t="s">
        <v>71</v>
      </c>
      <c r="D63" s="2" t="s">
        <v>33</v>
      </c>
      <c r="E63" s="3">
        <v>0.95830000000000004</v>
      </c>
      <c r="F63" s="3">
        <v>0.78280000000000005</v>
      </c>
      <c r="G63" s="3">
        <v>-0.17549999999999999</v>
      </c>
    </row>
    <row r="64" spans="1:7" x14ac:dyDescent="0.25">
      <c r="A64" s="2" t="s">
        <v>35</v>
      </c>
      <c r="B64" s="2" t="s">
        <v>29</v>
      </c>
      <c r="C64" s="2" t="s">
        <v>69</v>
      </c>
      <c r="D64" s="2" t="s">
        <v>30</v>
      </c>
      <c r="E64" s="3">
        <v>0.89859999999999995</v>
      </c>
      <c r="F64" s="3">
        <v>0.84379999999999999</v>
      </c>
      <c r="G64" s="3">
        <v>-5.479999999999996E-2</v>
      </c>
    </row>
    <row r="65" spans="1:7" x14ac:dyDescent="0.25">
      <c r="A65" s="2" t="s">
        <v>37</v>
      </c>
      <c r="B65" s="2" t="s">
        <v>29</v>
      </c>
      <c r="C65" s="2" t="s">
        <v>74</v>
      </c>
      <c r="D65" s="2" t="s">
        <v>38</v>
      </c>
      <c r="E65" s="3">
        <v>0.44169999999999998</v>
      </c>
      <c r="F65" s="3">
        <v>0.44990000000000002</v>
      </c>
      <c r="G65" s="3">
        <v>8.2000000000000406E-3</v>
      </c>
    </row>
    <row r="66" spans="1:7" x14ac:dyDescent="0.25">
      <c r="A66" s="2" t="s">
        <v>37</v>
      </c>
      <c r="B66" s="2" t="s">
        <v>32</v>
      </c>
      <c r="C66" s="2" t="s">
        <v>71</v>
      </c>
      <c r="D66" s="2" t="s">
        <v>33</v>
      </c>
      <c r="E66" s="3">
        <v>0.49059999999999998</v>
      </c>
      <c r="F66" s="3">
        <v>0.29649999999999999</v>
      </c>
      <c r="G66" s="3">
        <v>-0.19409999999999999</v>
      </c>
    </row>
    <row r="67" spans="1:7" x14ac:dyDescent="0.25">
      <c r="A67" s="2" t="s">
        <v>35</v>
      </c>
      <c r="B67" s="2" t="s">
        <v>32</v>
      </c>
      <c r="C67" s="2" t="s">
        <v>71</v>
      </c>
      <c r="D67" s="2" t="s">
        <v>33</v>
      </c>
      <c r="E67" s="3">
        <v>0.86080000000000001</v>
      </c>
      <c r="F67" s="3">
        <v>0.67179999999999995</v>
      </c>
      <c r="G67" s="3">
        <v>-0.18900000000000011</v>
      </c>
    </row>
    <row r="68" spans="1:7" x14ac:dyDescent="0.25">
      <c r="A68" s="2" t="s">
        <v>28</v>
      </c>
      <c r="B68" s="2" t="s">
        <v>42</v>
      </c>
      <c r="C68" s="2" t="s">
        <v>78</v>
      </c>
      <c r="D68" s="2" t="s">
        <v>43</v>
      </c>
      <c r="E68" s="3">
        <v>0.93730000000000002</v>
      </c>
      <c r="F68" s="3">
        <v>0.62660000000000005</v>
      </c>
      <c r="G68" s="3">
        <v>-0.31069999999999998</v>
      </c>
    </row>
    <row r="69" spans="1:7" x14ac:dyDescent="0.25">
      <c r="A69" s="2" t="s">
        <v>37</v>
      </c>
      <c r="B69" s="2" t="s">
        <v>42</v>
      </c>
      <c r="C69" s="2" t="s">
        <v>78</v>
      </c>
      <c r="D69" s="2" t="s">
        <v>43</v>
      </c>
      <c r="E69" s="3">
        <v>0.43340000000000001</v>
      </c>
      <c r="F69" s="3">
        <v>0</v>
      </c>
      <c r="G69" s="3">
        <v>-0.43340000000000001</v>
      </c>
    </row>
    <row r="70" spans="1:7" x14ac:dyDescent="0.25">
      <c r="A70" s="2" t="s">
        <v>35</v>
      </c>
      <c r="B70" s="2" t="s">
        <v>42</v>
      </c>
      <c r="C70" s="2" t="s">
        <v>78</v>
      </c>
      <c r="D70" s="2" t="s">
        <v>43</v>
      </c>
      <c r="E70" s="3">
        <v>0.8256</v>
      </c>
      <c r="F70" s="3">
        <v>0.69089999999999996</v>
      </c>
      <c r="G70" s="3">
        <v>-0.13469999999999999</v>
      </c>
    </row>
    <row r="71" spans="1:7" x14ac:dyDescent="0.25">
      <c r="A71" s="2" t="s">
        <v>37</v>
      </c>
      <c r="B71" s="2" t="s">
        <v>42</v>
      </c>
      <c r="C71" s="2" t="s">
        <v>82</v>
      </c>
      <c r="D71" s="2" t="s">
        <v>47</v>
      </c>
      <c r="E71" s="3">
        <v>0.4088</v>
      </c>
      <c r="F71" s="3">
        <v>0</v>
      </c>
      <c r="G71" s="3">
        <v>-0.4088</v>
      </c>
    </row>
    <row r="80" spans="1:7" x14ac:dyDescent="0.25">
      <c r="A80" s="1" t="s">
        <v>0</v>
      </c>
      <c r="B80" s="1" t="s">
        <v>1</v>
      </c>
      <c r="C80" s="1" t="s">
        <v>49</v>
      </c>
      <c r="D80" s="1" t="s">
        <v>2</v>
      </c>
      <c r="E80" s="1" t="s">
        <v>62</v>
      </c>
      <c r="F80" s="1" t="s">
        <v>63</v>
      </c>
      <c r="G80" s="1" t="s">
        <v>64</v>
      </c>
    </row>
    <row r="81" spans="1:9" x14ac:dyDescent="0.25">
      <c r="A81" s="2" t="s">
        <v>28</v>
      </c>
      <c r="B81" s="2" t="s">
        <v>29</v>
      </c>
      <c r="C81" s="2" t="s">
        <v>69</v>
      </c>
      <c r="D81" s="2" t="s">
        <v>30</v>
      </c>
      <c r="E81" s="3">
        <v>0.99339999999999995</v>
      </c>
      <c r="F81" s="3">
        <v>0.98729999999999996</v>
      </c>
      <c r="G81" s="3">
        <v>-6.0999999999999943E-3</v>
      </c>
    </row>
    <row r="82" spans="1:9" x14ac:dyDescent="0.25">
      <c r="A82" s="2" t="s">
        <v>28</v>
      </c>
      <c r="B82" s="2" t="s">
        <v>32</v>
      </c>
      <c r="C82" s="2" t="s">
        <v>71</v>
      </c>
      <c r="D82" s="2" t="s">
        <v>33</v>
      </c>
      <c r="E82" s="3">
        <v>0.98729999999999996</v>
      </c>
      <c r="F82" s="3">
        <v>0.95750000000000002</v>
      </c>
      <c r="G82" s="3">
        <v>-2.9799999999999941E-2</v>
      </c>
    </row>
    <row r="83" spans="1:9" x14ac:dyDescent="0.25">
      <c r="A83" s="2" t="s">
        <v>35</v>
      </c>
      <c r="B83" s="2" t="s">
        <v>29</v>
      </c>
      <c r="C83" s="2" t="s">
        <v>69</v>
      </c>
      <c r="D83" s="2" t="s">
        <v>30</v>
      </c>
      <c r="E83" s="3">
        <v>0.94269999999999998</v>
      </c>
      <c r="F83" s="3">
        <v>0.93230000000000002</v>
      </c>
      <c r="G83" s="3">
        <v>-1.039999999999996E-2</v>
      </c>
    </row>
    <row r="84" spans="1:9" x14ac:dyDescent="0.25">
      <c r="A84" s="2" t="s">
        <v>37</v>
      </c>
      <c r="B84" s="2" t="s">
        <v>29</v>
      </c>
      <c r="C84" s="2" t="s">
        <v>74</v>
      </c>
      <c r="D84" s="2" t="s">
        <v>38</v>
      </c>
      <c r="E84" s="3">
        <v>0.88370000000000004</v>
      </c>
      <c r="F84" s="3">
        <v>0.89739999999999998</v>
      </c>
      <c r="G84" s="3">
        <v>1.3699999999999929E-2</v>
      </c>
    </row>
    <row r="85" spans="1:9" x14ac:dyDescent="0.25">
      <c r="A85" s="2" t="s">
        <v>37</v>
      </c>
      <c r="B85" s="2" t="s">
        <v>32</v>
      </c>
      <c r="C85" s="2" t="s">
        <v>71</v>
      </c>
      <c r="D85" s="2" t="s">
        <v>33</v>
      </c>
      <c r="E85" s="3">
        <v>0.89249999999999996</v>
      </c>
      <c r="F85" s="3">
        <v>0.84250000000000003</v>
      </c>
      <c r="G85" s="3">
        <v>-4.9999999999999933E-2</v>
      </c>
    </row>
    <row r="86" spans="1:9" x14ac:dyDescent="0.25">
      <c r="A86" s="2" t="s">
        <v>35</v>
      </c>
      <c r="B86" s="2" t="s">
        <v>32</v>
      </c>
      <c r="C86" s="2" t="s">
        <v>71</v>
      </c>
      <c r="D86" s="2" t="s">
        <v>33</v>
      </c>
      <c r="E86" s="3">
        <v>0.91890000000000005</v>
      </c>
      <c r="F86" s="3">
        <v>0.83750000000000002</v>
      </c>
      <c r="G86" s="3">
        <v>-8.1400000000000028E-2</v>
      </c>
    </row>
    <row r="87" spans="1:9" x14ac:dyDescent="0.25">
      <c r="A87" s="2" t="s">
        <v>28</v>
      </c>
      <c r="B87" s="2" t="s">
        <v>42</v>
      </c>
      <c r="C87" s="2" t="s">
        <v>78</v>
      </c>
      <c r="D87" s="2" t="s">
        <v>43</v>
      </c>
      <c r="E87" s="3">
        <v>0.97540000000000004</v>
      </c>
      <c r="F87" s="3">
        <v>0.53369999999999995</v>
      </c>
      <c r="G87" s="3">
        <v>-0.44170000000000009</v>
      </c>
    </row>
    <row r="88" spans="1:9" x14ac:dyDescent="0.25">
      <c r="A88" s="2" t="s">
        <v>37</v>
      </c>
      <c r="B88" s="2" t="s">
        <v>42</v>
      </c>
      <c r="C88" s="2" t="s">
        <v>78</v>
      </c>
      <c r="D88" s="2" t="s">
        <v>43</v>
      </c>
      <c r="E88" s="3">
        <v>0.88959999999999995</v>
      </c>
      <c r="F88" s="3">
        <v>0.47470000000000001</v>
      </c>
      <c r="G88" s="3">
        <v>-0.41489999999999988</v>
      </c>
    </row>
    <row r="89" spans="1:9" x14ac:dyDescent="0.25">
      <c r="A89" s="2" t="s">
        <v>35</v>
      </c>
      <c r="B89" s="2" t="s">
        <v>42</v>
      </c>
      <c r="C89" s="2" t="s">
        <v>78</v>
      </c>
      <c r="D89" s="2" t="s">
        <v>43</v>
      </c>
      <c r="E89" s="3">
        <v>0.85799999999999998</v>
      </c>
      <c r="F89" s="3">
        <v>0.1784</v>
      </c>
      <c r="G89" s="3">
        <v>-0.67959999999999998</v>
      </c>
    </row>
    <row r="90" spans="1:9" x14ac:dyDescent="0.25">
      <c r="A90" s="2" t="s">
        <v>37</v>
      </c>
      <c r="B90" s="2" t="s">
        <v>42</v>
      </c>
      <c r="C90" s="2" t="s">
        <v>82</v>
      </c>
      <c r="D90" s="2" t="s">
        <v>47</v>
      </c>
      <c r="E90" s="3">
        <v>0.86570000000000003</v>
      </c>
      <c r="F90" s="3">
        <v>0</v>
      </c>
      <c r="G90" s="3">
        <v>-0.86570000000000003</v>
      </c>
    </row>
    <row r="96" spans="1:9" ht="30" x14ac:dyDescent="0.25">
      <c r="A96" s="1" t="s">
        <v>0</v>
      </c>
      <c r="B96" s="1" t="s">
        <v>1</v>
      </c>
      <c r="C96" s="1" t="s">
        <v>49</v>
      </c>
      <c r="D96" s="1" t="s">
        <v>2</v>
      </c>
      <c r="E96" s="1" t="s">
        <v>65</v>
      </c>
      <c r="F96" s="1" t="s">
        <v>66</v>
      </c>
      <c r="G96" s="1" t="s">
        <v>67</v>
      </c>
      <c r="H96" s="1" t="s">
        <v>68</v>
      </c>
      <c r="I96" s="1" t="s">
        <v>669</v>
      </c>
    </row>
    <row r="97" spans="1:9" x14ac:dyDescent="0.25">
      <c r="A97" s="2" t="s">
        <v>28</v>
      </c>
      <c r="B97" s="2" t="s">
        <v>29</v>
      </c>
      <c r="C97" s="2" t="s">
        <v>69</v>
      </c>
      <c r="D97" s="2" t="s">
        <v>30</v>
      </c>
      <c r="E97" s="3">
        <v>3.69</v>
      </c>
      <c r="F97" s="3">
        <v>17.420000000000002</v>
      </c>
      <c r="G97" s="4">
        <v>41.64</v>
      </c>
      <c r="H97" s="4">
        <v>10.95</v>
      </c>
      <c r="I97" s="5">
        <f>G97-H97</f>
        <v>30.69</v>
      </c>
    </row>
    <row r="98" spans="1:9" x14ac:dyDescent="0.25">
      <c r="A98" s="2" t="s">
        <v>28</v>
      </c>
      <c r="B98" s="2" t="s">
        <v>32</v>
      </c>
      <c r="C98" s="2" t="s">
        <v>71</v>
      </c>
      <c r="D98" s="2" t="s">
        <v>33</v>
      </c>
      <c r="E98" s="3">
        <v>12.27</v>
      </c>
      <c r="F98" s="3">
        <v>28.26</v>
      </c>
      <c r="G98" s="4">
        <v>81.569999999999993</v>
      </c>
      <c r="H98" s="4">
        <v>22.11</v>
      </c>
      <c r="I98" s="5">
        <f t="shared" ref="I98:I106" si="0">G98-H98</f>
        <v>59.459999999999994</v>
      </c>
    </row>
    <row r="99" spans="1:9" x14ac:dyDescent="0.25">
      <c r="A99" s="2" t="s">
        <v>35</v>
      </c>
      <c r="B99" s="2" t="s">
        <v>29</v>
      </c>
      <c r="C99" s="2" t="s">
        <v>69</v>
      </c>
      <c r="D99" s="2" t="s">
        <v>30</v>
      </c>
      <c r="E99" s="3">
        <v>3.51</v>
      </c>
      <c r="F99" s="3">
        <v>17.47</v>
      </c>
      <c r="G99" s="4">
        <v>41.64</v>
      </c>
      <c r="H99" s="4">
        <v>10.95</v>
      </c>
      <c r="I99" s="5">
        <f t="shared" si="0"/>
        <v>30.69</v>
      </c>
    </row>
    <row r="100" spans="1:9" x14ac:dyDescent="0.25">
      <c r="A100" s="2" t="s">
        <v>37</v>
      </c>
      <c r="B100" s="2" t="s">
        <v>29</v>
      </c>
      <c r="C100" s="2" t="s">
        <v>74</v>
      </c>
      <c r="D100" s="2" t="s">
        <v>38</v>
      </c>
      <c r="E100" s="3">
        <v>3.09</v>
      </c>
      <c r="F100" s="3">
        <v>3.56</v>
      </c>
      <c r="G100" s="4">
        <v>6.28</v>
      </c>
      <c r="H100" s="4">
        <v>1.98</v>
      </c>
      <c r="I100" s="5">
        <f t="shared" si="0"/>
        <v>4.3000000000000007</v>
      </c>
    </row>
    <row r="101" spans="1:9" x14ac:dyDescent="0.25">
      <c r="A101" s="2" t="s">
        <v>37</v>
      </c>
      <c r="B101" s="2" t="s">
        <v>32</v>
      </c>
      <c r="C101" s="2" t="s">
        <v>71</v>
      </c>
      <c r="D101" s="2" t="s">
        <v>33</v>
      </c>
      <c r="E101" s="3">
        <v>13.22</v>
      </c>
      <c r="F101" s="3">
        <v>28.69</v>
      </c>
      <c r="G101" s="4">
        <v>81.569999999999993</v>
      </c>
      <c r="H101" s="4">
        <v>22.11</v>
      </c>
      <c r="I101" s="5">
        <f t="shared" si="0"/>
        <v>59.459999999999994</v>
      </c>
    </row>
    <row r="102" spans="1:9" x14ac:dyDescent="0.25">
      <c r="A102" s="2" t="s">
        <v>35</v>
      </c>
      <c r="B102" s="2" t="s">
        <v>32</v>
      </c>
      <c r="C102" s="2" t="s">
        <v>71</v>
      </c>
      <c r="D102" s="2" t="s">
        <v>33</v>
      </c>
      <c r="E102" s="3">
        <v>11.64</v>
      </c>
      <c r="F102" s="3">
        <v>28.47</v>
      </c>
      <c r="G102" s="4">
        <v>81.569999999999993</v>
      </c>
      <c r="H102" s="4">
        <v>22.11</v>
      </c>
      <c r="I102" s="5">
        <f t="shared" si="0"/>
        <v>59.459999999999994</v>
      </c>
    </row>
    <row r="103" spans="1:9" x14ac:dyDescent="0.25">
      <c r="A103" s="2" t="s">
        <v>28</v>
      </c>
      <c r="B103" s="2" t="s">
        <v>42</v>
      </c>
      <c r="C103" s="2" t="s">
        <v>78</v>
      </c>
      <c r="D103" s="2" t="s">
        <v>43</v>
      </c>
      <c r="E103" s="3">
        <v>5.15</v>
      </c>
      <c r="F103" s="3">
        <v>4.01</v>
      </c>
      <c r="G103" s="4">
        <v>34.17</v>
      </c>
      <c r="H103" s="4">
        <v>8.9499999999999993</v>
      </c>
      <c r="I103" s="5">
        <f t="shared" si="0"/>
        <v>25.220000000000002</v>
      </c>
    </row>
    <row r="104" spans="1:9" x14ac:dyDescent="0.25">
      <c r="A104" s="2" t="s">
        <v>37</v>
      </c>
      <c r="B104" s="2" t="s">
        <v>42</v>
      </c>
      <c r="C104" s="2" t="s">
        <v>78</v>
      </c>
      <c r="D104" s="2" t="s">
        <v>43</v>
      </c>
      <c r="E104" s="3">
        <v>7.69</v>
      </c>
      <c r="F104" s="3">
        <v>53.32</v>
      </c>
      <c r="G104" s="4">
        <v>34.17</v>
      </c>
      <c r="H104" s="4">
        <v>8.9499999999999993</v>
      </c>
      <c r="I104" s="5">
        <f t="shared" si="0"/>
        <v>25.220000000000002</v>
      </c>
    </row>
    <row r="105" spans="1:9" x14ac:dyDescent="0.25">
      <c r="A105" s="2" t="s">
        <v>35</v>
      </c>
      <c r="B105" s="2" t="s">
        <v>42</v>
      </c>
      <c r="C105" s="2" t="s">
        <v>78</v>
      </c>
      <c r="D105" s="2" t="s">
        <v>43</v>
      </c>
      <c r="E105" s="3">
        <v>5.35</v>
      </c>
      <c r="F105" s="3">
        <v>53.02</v>
      </c>
      <c r="G105" s="4">
        <v>34.17</v>
      </c>
      <c r="H105" s="4">
        <v>8.9499999999999993</v>
      </c>
      <c r="I105" s="5">
        <f t="shared" si="0"/>
        <v>25.220000000000002</v>
      </c>
    </row>
    <row r="106" spans="1:9" x14ac:dyDescent="0.25">
      <c r="A106" s="2" t="s">
        <v>37</v>
      </c>
      <c r="B106" s="2" t="s">
        <v>42</v>
      </c>
      <c r="C106" s="2" t="s">
        <v>82</v>
      </c>
      <c r="D106" s="2" t="s">
        <v>47</v>
      </c>
      <c r="E106" s="3">
        <v>3.41</v>
      </c>
      <c r="F106" s="3">
        <v>1.65</v>
      </c>
      <c r="G106" s="4">
        <v>10.17</v>
      </c>
      <c r="H106" s="4">
        <v>2.78</v>
      </c>
      <c r="I106" s="5">
        <f t="shared" si="0"/>
        <v>7.3900000000000006</v>
      </c>
    </row>
  </sheetData>
  <conditionalFormatting sqref="G2:G11">
    <cfRule type="cellIs" dxfId="49" priority="28" operator="between">
      <formula>-0.01</formula>
      <formula>0.01</formula>
    </cfRule>
    <cfRule type="cellIs" dxfId="48" priority="29" operator="between">
      <formula>-0.03</formula>
      <formula>-0.01</formula>
    </cfRule>
    <cfRule type="cellIs" dxfId="47" priority="30" operator="between">
      <formula>0.01</formula>
      <formula>0.03</formula>
    </cfRule>
    <cfRule type="cellIs" dxfId="46" priority="31" operator="lessThan">
      <formula>-0.03</formula>
    </cfRule>
    <cfRule type="cellIs" dxfId="45" priority="32" operator="greaterThan">
      <formula>0.03</formula>
    </cfRule>
  </conditionalFormatting>
  <conditionalFormatting sqref="J2:J11">
    <cfRule type="cellIs" dxfId="44" priority="33" operator="between">
      <formula>-0.01</formula>
      <formula>0.01</formula>
    </cfRule>
    <cfRule type="cellIs" dxfId="43" priority="34" operator="between">
      <formula>-0.03</formula>
      <formula>-0.01</formula>
    </cfRule>
    <cfRule type="cellIs" dxfId="42" priority="35" operator="between">
      <formula>0.01</formula>
      <formula>0.03</formula>
    </cfRule>
    <cfRule type="cellIs" dxfId="41" priority="36" operator="lessThan">
      <formula>-0.03</formula>
    </cfRule>
    <cfRule type="cellIs" dxfId="40" priority="37" operator="greaterThan">
      <formula>0.03</formula>
    </cfRule>
  </conditionalFormatting>
  <conditionalFormatting sqref="M2:M11">
    <cfRule type="cellIs" dxfId="39" priority="38" operator="between">
      <formula>-0.01</formula>
      <formula>0.01</formula>
    </cfRule>
    <cfRule type="cellIs" dxfId="38" priority="39" operator="between">
      <formula>-0.03</formula>
      <formula>-0.01</formula>
    </cfRule>
    <cfRule type="cellIs" dxfId="37" priority="40" operator="between">
      <formula>0.01</formula>
      <formula>0.03</formula>
    </cfRule>
    <cfRule type="cellIs" dxfId="36" priority="41" operator="lessThan">
      <formula>-0.03</formula>
    </cfRule>
    <cfRule type="cellIs" dxfId="35" priority="42" operator="greaterThan">
      <formula>0.03</formula>
    </cfRule>
  </conditionalFormatting>
  <conditionalFormatting sqref="P2:P11">
    <cfRule type="cellIs" dxfId="34" priority="43" operator="between">
      <formula>-0.01</formula>
      <formula>0.01</formula>
    </cfRule>
    <cfRule type="cellIs" dxfId="33" priority="44" operator="between">
      <formula>-0.03</formula>
      <formula>-0.01</formula>
    </cfRule>
    <cfRule type="cellIs" dxfId="32" priority="45" operator="between">
      <formula>0.01</formula>
      <formula>0.03</formula>
    </cfRule>
    <cfRule type="cellIs" dxfId="31" priority="46" operator="lessThan">
      <formula>-0.03</formula>
    </cfRule>
    <cfRule type="cellIs" dxfId="30" priority="47" operator="greaterThan">
      <formula>0.03</formula>
    </cfRule>
  </conditionalFormatting>
  <conditionalFormatting sqref="Q2:Q11">
    <cfRule type="colorScale" priority="53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R2:R11">
    <cfRule type="colorScale" priority="54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S2:S11">
    <cfRule type="cellIs" dxfId="29" priority="48" operator="between">
      <formula>-0.01</formula>
      <formula>0.01</formula>
    </cfRule>
    <cfRule type="cellIs" dxfId="28" priority="49" operator="between">
      <formula>-0.03</formula>
      <formula>-0.01</formula>
    </cfRule>
    <cfRule type="cellIs" dxfId="27" priority="50" operator="between">
      <formula>0.01</formula>
      <formula>0.03</formula>
    </cfRule>
    <cfRule type="cellIs" dxfId="26" priority="51" operator="lessThan">
      <formula>-0.03</formula>
    </cfRule>
    <cfRule type="cellIs" dxfId="25" priority="52" operator="greaterThan">
      <formula>0.03</formula>
    </cfRule>
  </conditionalFormatting>
  <conditionalFormatting sqref="G16:G25">
    <cfRule type="cellIs" dxfId="24" priority="23" operator="between">
      <formula>-0.01</formula>
      <formula>0.01</formula>
    </cfRule>
    <cfRule type="cellIs" dxfId="23" priority="24" operator="between">
      <formula>-0.03</formula>
      <formula>-0.01</formula>
    </cfRule>
    <cfRule type="cellIs" dxfId="22" priority="25" operator="between">
      <formula>0.01</formula>
      <formula>0.03</formula>
    </cfRule>
    <cfRule type="cellIs" dxfId="21" priority="26" operator="lessThan">
      <formula>-0.03</formula>
    </cfRule>
    <cfRule type="cellIs" dxfId="20" priority="27" operator="greaterThan">
      <formula>0.03</formula>
    </cfRule>
  </conditionalFormatting>
  <conditionalFormatting sqref="G30:G39">
    <cfRule type="cellIs" dxfId="19" priority="18" operator="between">
      <formula>-0.01</formula>
      <formula>0.01</formula>
    </cfRule>
    <cfRule type="cellIs" dxfId="18" priority="19" operator="between">
      <formula>-0.03</formula>
      <formula>-0.01</formula>
    </cfRule>
    <cfRule type="cellIs" dxfId="17" priority="20" operator="between">
      <formula>0.01</formula>
      <formula>0.03</formula>
    </cfRule>
    <cfRule type="cellIs" dxfId="16" priority="21" operator="lessThan">
      <formula>-0.03</formula>
    </cfRule>
    <cfRule type="cellIs" dxfId="15" priority="22" operator="greaterThan">
      <formula>0.03</formula>
    </cfRule>
  </conditionalFormatting>
  <conditionalFormatting sqref="G47:G56">
    <cfRule type="cellIs" dxfId="14" priority="13" operator="between">
      <formula>-0.01</formula>
      <formula>0.01</formula>
    </cfRule>
    <cfRule type="cellIs" dxfId="13" priority="14" operator="between">
      <formula>-0.03</formula>
      <formula>-0.01</formula>
    </cfRule>
    <cfRule type="cellIs" dxfId="12" priority="15" operator="between">
      <formula>0.01</formula>
      <formula>0.03</formula>
    </cfRule>
    <cfRule type="cellIs" dxfId="11" priority="16" operator="lessThan">
      <formula>-0.03</formula>
    </cfRule>
    <cfRule type="cellIs" dxfId="10" priority="17" operator="greaterThan">
      <formula>0.03</formula>
    </cfRule>
  </conditionalFormatting>
  <conditionalFormatting sqref="G62:G71">
    <cfRule type="cellIs" dxfId="9" priority="8" operator="between">
      <formula>-0.01</formula>
      <formula>0.01</formula>
    </cfRule>
    <cfRule type="cellIs" dxfId="8" priority="9" operator="between">
      <formula>-0.03</formula>
      <formula>-0.01</formula>
    </cfRule>
    <cfRule type="cellIs" dxfId="7" priority="10" operator="between">
      <formula>0.01</formula>
      <formula>0.03</formula>
    </cfRule>
    <cfRule type="cellIs" dxfId="6" priority="11" operator="lessThan">
      <formula>-0.03</formula>
    </cfRule>
    <cfRule type="cellIs" dxfId="5" priority="12" operator="greaterThan">
      <formula>0.03</formula>
    </cfRule>
  </conditionalFormatting>
  <conditionalFormatting sqref="E81:E90">
    <cfRule type="colorScale" priority="6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F81:F90">
    <cfRule type="colorScale" priority="7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G81:G90">
    <cfRule type="cellIs" dxfId="4" priority="1" operator="between">
      <formula>-0.01</formula>
      <formula>0.01</formula>
    </cfRule>
    <cfRule type="cellIs" dxfId="3" priority="2" operator="between">
      <formula>-0.03</formula>
      <formula>-0.01</formula>
    </cfRule>
    <cfRule type="cellIs" dxfId="2" priority="3" operator="between">
      <formula>0.01</formula>
      <formula>0.03</formula>
    </cfRule>
    <cfRule type="cellIs" dxfId="1" priority="4" operator="lessThan">
      <formula>-0.03</formula>
    </cfRule>
    <cfRule type="cellIs" dxfId="0" priority="5" operator="greaterThan">
      <formula>0.03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6" customWidth="1"/>
    <col min="3" max="3" width="18" customWidth="1"/>
    <col min="4" max="4" width="13" customWidth="1"/>
    <col min="5" max="5" width="18" customWidth="1"/>
    <col min="6" max="6" width="16" customWidth="1"/>
    <col min="7" max="7" width="21" customWidth="1"/>
    <col min="8" max="8" width="12" customWidth="1"/>
    <col min="9" max="9" width="14" customWidth="1"/>
    <col min="10" max="10" width="19" customWidth="1"/>
    <col min="11" max="11" width="17" customWidth="1"/>
    <col min="12" max="12" width="22" customWidth="1"/>
    <col min="13" max="13" width="13" customWidth="1"/>
    <col min="14" max="14" width="12" customWidth="1"/>
    <col min="15" max="15" width="15" customWidth="1"/>
    <col min="16" max="16" width="12" customWidth="1"/>
    <col min="17" max="17" width="34" customWidth="1"/>
    <col min="18" max="18" width="13" customWidth="1"/>
    <col min="19" max="19" width="18" customWidth="1"/>
    <col min="20" max="20" width="16" customWidth="1"/>
    <col min="21" max="21" width="21" customWidth="1"/>
    <col min="22" max="22" width="12" customWidth="1"/>
    <col min="23" max="23" width="14" customWidth="1"/>
    <col min="24" max="24" width="19" customWidth="1"/>
    <col min="25" max="25" width="17" customWidth="1"/>
    <col min="26" max="26" width="22" customWidth="1"/>
    <col min="27" max="27" width="13" customWidth="1"/>
    <col min="28" max="28" width="12" customWidth="1"/>
    <col min="29" max="29" width="15" customWidth="1"/>
    <col min="30" max="30" width="12" customWidth="1"/>
    <col min="31" max="31" width="34" customWidth="1"/>
    <col min="32" max="32" width="13" customWidth="1"/>
    <col min="33" max="33" width="18" customWidth="1"/>
    <col min="34" max="34" width="16" customWidth="1"/>
    <col min="35" max="35" width="21" customWidth="1"/>
    <col min="36" max="36" width="12" customWidth="1"/>
    <col min="37" max="37" width="14" customWidth="1"/>
    <col min="38" max="38" width="19" customWidth="1"/>
    <col min="39" max="39" width="17" customWidth="1"/>
    <col min="40" max="40" width="22" customWidth="1"/>
    <col min="41" max="41" width="13" customWidth="1"/>
    <col min="42" max="42" width="12" customWidth="1"/>
    <col min="43" max="43" width="15" customWidth="1"/>
    <col min="44" max="44" width="12" customWidth="1"/>
    <col min="45" max="45" width="34" customWidth="1"/>
    <col min="46" max="46" width="13" customWidth="1"/>
    <col min="47" max="47" width="18" customWidth="1"/>
    <col min="48" max="48" width="16" customWidth="1"/>
    <col min="49" max="49" width="21" customWidth="1"/>
    <col min="50" max="50" width="12" customWidth="1"/>
    <col min="51" max="51" width="14" customWidth="1"/>
    <col min="52" max="52" width="19" customWidth="1"/>
    <col min="53" max="53" width="17" customWidth="1"/>
    <col min="54" max="54" width="22" customWidth="1"/>
    <col min="55" max="55" width="13" customWidth="1"/>
    <col min="56" max="56" width="12" customWidth="1"/>
    <col min="57" max="57" width="15" customWidth="1"/>
    <col min="58" max="58" width="12" customWidth="1"/>
    <col min="59" max="59" width="34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27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  <c r="AP1" s="1" t="s">
        <v>121</v>
      </c>
      <c r="AQ1" s="1" t="s">
        <v>122</v>
      </c>
      <c r="AR1" s="1" t="s">
        <v>123</v>
      </c>
      <c r="AS1" s="1" t="s">
        <v>124</v>
      </c>
      <c r="AT1" s="1" t="s">
        <v>4</v>
      </c>
      <c r="AU1" s="1" t="s">
        <v>5</v>
      </c>
      <c r="AV1" s="1" t="s">
        <v>6</v>
      </c>
      <c r="AW1" s="1" t="s">
        <v>7</v>
      </c>
      <c r="AX1" s="1" t="s">
        <v>8</v>
      </c>
      <c r="AY1" s="1" t="s">
        <v>9</v>
      </c>
      <c r="AZ1" s="1" t="s">
        <v>10</v>
      </c>
      <c r="BA1" s="1" t="s">
        <v>11</v>
      </c>
      <c r="BB1" s="1" t="s">
        <v>12</v>
      </c>
      <c r="BC1" s="1" t="s">
        <v>13</v>
      </c>
      <c r="BD1" s="1" t="s">
        <v>14</v>
      </c>
      <c r="BE1" s="1" t="s">
        <v>15</v>
      </c>
      <c r="BF1" s="1" t="s">
        <v>16</v>
      </c>
      <c r="BG1" s="1" t="s">
        <v>125</v>
      </c>
    </row>
    <row r="2" spans="1:59" x14ac:dyDescent="0.25">
      <c r="A2" s="2" t="s">
        <v>28</v>
      </c>
      <c r="B2" s="2" t="s">
        <v>32</v>
      </c>
      <c r="C2" s="2" t="s">
        <v>33</v>
      </c>
      <c r="D2" s="3">
        <v>0.98729999999999996</v>
      </c>
      <c r="E2" s="2">
        <v>0.9617</v>
      </c>
      <c r="F2" s="3">
        <v>0.96409999999999996</v>
      </c>
      <c r="G2" s="3">
        <v>0.95979999999999999</v>
      </c>
      <c r="H2" s="2">
        <v>0.95830000000000004</v>
      </c>
      <c r="I2" s="3">
        <v>0.99450000000000005</v>
      </c>
      <c r="J2" s="2">
        <v>0.96450000000000002</v>
      </c>
      <c r="K2" s="3">
        <v>0.96909999999999996</v>
      </c>
      <c r="L2" s="3">
        <v>0.97670000000000001</v>
      </c>
      <c r="M2" s="2">
        <v>0.97409999999999997</v>
      </c>
      <c r="N2" s="3">
        <v>81.569999999999993</v>
      </c>
      <c r="O2" s="3">
        <v>12.27</v>
      </c>
      <c r="P2" s="2"/>
      <c r="Q2" s="2" t="s">
        <v>72</v>
      </c>
      <c r="R2" s="3">
        <v>0.72619999999999996</v>
      </c>
      <c r="S2" s="2">
        <v>0.4617</v>
      </c>
      <c r="T2" s="3">
        <v>0.9042</v>
      </c>
      <c r="U2" s="3">
        <v>0.56279999999999997</v>
      </c>
      <c r="V2" s="2">
        <v>0.74570000000000003</v>
      </c>
      <c r="W2" s="3">
        <v>0.66249999999999998</v>
      </c>
      <c r="X2" s="2">
        <v>0.53010000000000002</v>
      </c>
      <c r="Y2" s="3">
        <v>0.85570000000000002</v>
      </c>
      <c r="Z2" s="3">
        <v>0.49419999999999997</v>
      </c>
      <c r="AA2" s="2">
        <v>0.74270000000000003</v>
      </c>
      <c r="AB2" s="3">
        <v>81.61</v>
      </c>
      <c r="AC2" s="3">
        <v>12.61</v>
      </c>
      <c r="AD2" s="2"/>
      <c r="AE2" s="2" t="s">
        <v>126</v>
      </c>
      <c r="AF2" s="3">
        <v>0.98509999999999998</v>
      </c>
      <c r="AG2" s="2">
        <v>0.9536</v>
      </c>
      <c r="AH2" s="3">
        <v>0.97009999999999996</v>
      </c>
      <c r="AI2" s="3">
        <v>0.93469999999999998</v>
      </c>
      <c r="AJ2" s="2">
        <v>0.94740000000000002</v>
      </c>
      <c r="AK2" s="3">
        <v>0.99229999999999996</v>
      </c>
      <c r="AL2" s="2">
        <v>0.95899999999999996</v>
      </c>
      <c r="AM2" s="3">
        <v>0.97419999999999995</v>
      </c>
      <c r="AN2" s="3">
        <v>0.94769999999999999</v>
      </c>
      <c r="AO2" s="2">
        <v>0.96430000000000005</v>
      </c>
      <c r="AP2" s="3">
        <v>81.61</v>
      </c>
      <c r="AQ2" s="3">
        <v>14.33</v>
      </c>
      <c r="AR2" s="2"/>
      <c r="AS2" s="2" t="s">
        <v>127</v>
      </c>
      <c r="AT2" s="3">
        <v>0.95750000000000002</v>
      </c>
      <c r="AU2" s="2">
        <v>0.75139999999999996</v>
      </c>
      <c r="AV2" s="3">
        <v>0.98199999999999998</v>
      </c>
      <c r="AW2" s="3">
        <v>0.55779999999999996</v>
      </c>
      <c r="AX2" s="2">
        <v>0.78280000000000005</v>
      </c>
      <c r="AY2" s="3">
        <v>0.96189999999999998</v>
      </c>
      <c r="AZ2" s="2">
        <v>0.7732</v>
      </c>
      <c r="BA2" s="3">
        <v>0.97940000000000005</v>
      </c>
      <c r="BB2" s="3">
        <v>0.54069999999999996</v>
      </c>
      <c r="BC2" s="2">
        <v>0.82069999999999999</v>
      </c>
      <c r="BD2" s="3">
        <v>22.11</v>
      </c>
      <c r="BE2" s="3">
        <v>28.26</v>
      </c>
      <c r="BF2" s="3">
        <v>0.4</v>
      </c>
      <c r="BG2" s="2" t="s">
        <v>34</v>
      </c>
    </row>
    <row r="3" spans="1:59" x14ac:dyDescent="0.25">
      <c r="A3" s="2" t="s">
        <v>28</v>
      </c>
      <c r="B3" s="2" t="s">
        <v>42</v>
      </c>
      <c r="C3" s="2" t="s">
        <v>43</v>
      </c>
      <c r="D3" s="3">
        <v>0.97540000000000004</v>
      </c>
      <c r="E3" s="2">
        <v>0.93720000000000003</v>
      </c>
      <c r="F3" s="3">
        <v>0.94010000000000005</v>
      </c>
      <c r="G3" s="3">
        <v>0.94469999999999998</v>
      </c>
      <c r="H3" s="2">
        <v>0.93730000000000002</v>
      </c>
      <c r="I3" s="3">
        <v>0.97860000000000003</v>
      </c>
      <c r="J3" s="2">
        <v>0.93720000000000003</v>
      </c>
      <c r="K3" s="3">
        <v>0.91239999999999999</v>
      </c>
      <c r="L3" s="3">
        <v>0.96509999999999996</v>
      </c>
      <c r="M3" s="2">
        <v>0.93899999999999995</v>
      </c>
      <c r="N3" s="3">
        <v>34.17</v>
      </c>
      <c r="O3" s="3">
        <v>5.15</v>
      </c>
      <c r="P3" s="2"/>
      <c r="Q3" s="2" t="s">
        <v>79</v>
      </c>
      <c r="R3" s="3">
        <v>0.74990000000000001</v>
      </c>
      <c r="S3" s="2">
        <v>0.46450000000000002</v>
      </c>
      <c r="T3" s="3">
        <v>0.82040000000000002</v>
      </c>
      <c r="U3" s="3">
        <v>0.63819999999999999</v>
      </c>
      <c r="V3" s="2">
        <v>0.72870000000000001</v>
      </c>
      <c r="W3" s="3">
        <v>0.77749999999999997</v>
      </c>
      <c r="X3" s="2">
        <v>0.53010000000000002</v>
      </c>
      <c r="Y3" s="3">
        <v>0.80410000000000004</v>
      </c>
      <c r="Z3" s="3">
        <v>0.68020000000000003</v>
      </c>
      <c r="AA3" s="2">
        <v>0.77039999999999997</v>
      </c>
      <c r="AB3" s="3">
        <v>34.19</v>
      </c>
      <c r="AC3" s="3">
        <v>6.47</v>
      </c>
      <c r="AD3" s="2"/>
      <c r="AE3" s="2" t="s">
        <v>128</v>
      </c>
      <c r="AF3" s="3">
        <v>0.95720000000000005</v>
      </c>
      <c r="AG3" s="2">
        <v>0.90159999999999996</v>
      </c>
      <c r="AH3" s="3">
        <v>0.8982</v>
      </c>
      <c r="AI3" s="3">
        <v>0.90449999999999997</v>
      </c>
      <c r="AJ3" s="2">
        <v>0.89290000000000003</v>
      </c>
      <c r="AK3" s="3">
        <v>0.95440000000000003</v>
      </c>
      <c r="AL3" s="2">
        <v>0.89890000000000003</v>
      </c>
      <c r="AM3" s="3">
        <v>0.89690000000000003</v>
      </c>
      <c r="AN3" s="3">
        <v>0.91279999999999994</v>
      </c>
      <c r="AO3" s="2">
        <v>0.90859999999999996</v>
      </c>
      <c r="AP3" s="3">
        <v>34.19</v>
      </c>
      <c r="AQ3" s="3">
        <v>5.31</v>
      </c>
      <c r="AR3" s="2"/>
      <c r="AS3" s="2" t="s">
        <v>129</v>
      </c>
      <c r="AT3" s="3">
        <v>0.53369999999999995</v>
      </c>
      <c r="AU3" s="2">
        <v>0.45629999999999998</v>
      </c>
      <c r="AV3" s="3">
        <v>1</v>
      </c>
      <c r="AW3" s="3">
        <v>0</v>
      </c>
      <c r="AX3" s="2">
        <v>0.62660000000000005</v>
      </c>
      <c r="AY3" s="3">
        <v>0.46039999999999998</v>
      </c>
      <c r="AZ3" s="2">
        <v>0.53010000000000002</v>
      </c>
      <c r="BA3" s="3">
        <v>1</v>
      </c>
      <c r="BB3" s="3">
        <v>0</v>
      </c>
      <c r="BC3" s="2">
        <v>0.69289999999999996</v>
      </c>
      <c r="BD3" s="3">
        <v>8.9499999999999993</v>
      </c>
      <c r="BE3" s="3">
        <v>4.01</v>
      </c>
      <c r="BF3" s="3">
        <v>0.67</v>
      </c>
      <c r="BG3" s="2" t="s">
        <v>44</v>
      </c>
    </row>
    <row r="4" spans="1:59" x14ac:dyDescent="0.25">
      <c r="A4" s="2" t="s">
        <v>28</v>
      </c>
      <c r="B4" s="2" t="s">
        <v>29</v>
      </c>
      <c r="C4" s="2" t="s">
        <v>30</v>
      </c>
      <c r="D4" s="3">
        <v>0.99339999999999995</v>
      </c>
      <c r="E4" s="2">
        <v>0.95079999999999998</v>
      </c>
      <c r="F4" s="3">
        <v>0.91620000000000001</v>
      </c>
      <c r="G4" s="3">
        <v>0.9849</v>
      </c>
      <c r="H4" s="2">
        <v>0.94740000000000002</v>
      </c>
      <c r="I4" s="3">
        <v>0.99660000000000004</v>
      </c>
      <c r="J4" s="2">
        <v>0.98629999999999995</v>
      </c>
      <c r="K4" s="3">
        <v>0.97940000000000005</v>
      </c>
      <c r="L4" s="3">
        <v>0.99419999999999997</v>
      </c>
      <c r="M4" s="2">
        <v>0.98699999999999999</v>
      </c>
      <c r="N4" s="3">
        <v>41.64</v>
      </c>
      <c r="O4" s="3">
        <v>3.69</v>
      </c>
      <c r="P4" s="2"/>
      <c r="Q4" s="2" t="s">
        <v>70</v>
      </c>
      <c r="R4" s="3">
        <v>0.97840000000000005</v>
      </c>
      <c r="S4" s="2">
        <v>0.45629999999999998</v>
      </c>
      <c r="T4" s="3">
        <v>0.91020000000000001</v>
      </c>
      <c r="U4" s="3">
        <v>0.95979999999999999</v>
      </c>
      <c r="V4" s="2">
        <v>0.92969999999999997</v>
      </c>
      <c r="W4" s="3">
        <v>0.9869</v>
      </c>
      <c r="X4" s="2">
        <v>0.53010000000000002</v>
      </c>
      <c r="Y4" s="3">
        <v>0.92269999999999996</v>
      </c>
      <c r="Z4" s="3">
        <v>0.95930000000000004</v>
      </c>
      <c r="AA4" s="2">
        <v>0.94210000000000005</v>
      </c>
      <c r="AB4" s="3">
        <v>41.62</v>
      </c>
      <c r="AC4" s="3">
        <v>4.1900000000000004</v>
      </c>
      <c r="AD4" s="2"/>
      <c r="AE4" s="2" t="s">
        <v>130</v>
      </c>
      <c r="AF4" s="3">
        <v>0.98709999999999998</v>
      </c>
      <c r="AG4" s="2">
        <v>0.97540000000000004</v>
      </c>
      <c r="AH4" s="3">
        <v>0.92220000000000002</v>
      </c>
      <c r="AI4" s="3">
        <v>0.9849</v>
      </c>
      <c r="AJ4" s="2">
        <v>0.9506</v>
      </c>
      <c r="AK4" s="3">
        <v>0.99760000000000004</v>
      </c>
      <c r="AL4" s="2">
        <v>0.97270000000000001</v>
      </c>
      <c r="AM4" s="3">
        <v>0.97419999999999995</v>
      </c>
      <c r="AN4" s="3">
        <v>0.99419999999999997</v>
      </c>
      <c r="AO4" s="2">
        <v>0.98440000000000005</v>
      </c>
      <c r="AP4" s="3">
        <v>41.62</v>
      </c>
      <c r="AQ4" s="3">
        <v>4.43</v>
      </c>
      <c r="AR4" s="2"/>
      <c r="AS4" s="2" t="s">
        <v>131</v>
      </c>
      <c r="AT4" s="3">
        <v>0.98729999999999996</v>
      </c>
      <c r="AU4" s="2">
        <v>0.9617</v>
      </c>
      <c r="AV4" s="3">
        <v>0.92810000000000004</v>
      </c>
      <c r="AW4" s="3">
        <v>0.97489999999999999</v>
      </c>
      <c r="AX4" s="2">
        <v>0.94799999999999995</v>
      </c>
      <c r="AY4" s="3">
        <v>0.99750000000000005</v>
      </c>
      <c r="AZ4" s="2">
        <v>0.96719999999999995</v>
      </c>
      <c r="BA4" s="3">
        <v>0.97419999999999995</v>
      </c>
      <c r="BB4" s="3">
        <v>0.99419999999999997</v>
      </c>
      <c r="BC4" s="2">
        <v>0.98440000000000005</v>
      </c>
      <c r="BD4" s="3">
        <v>10.95</v>
      </c>
      <c r="BE4" s="3">
        <v>17.420000000000002</v>
      </c>
      <c r="BF4" s="3">
        <v>0.54</v>
      </c>
      <c r="BG4" s="2" t="s">
        <v>31</v>
      </c>
    </row>
    <row r="5" spans="1:59" x14ac:dyDescent="0.25">
      <c r="A5" s="2" t="s">
        <v>35</v>
      </c>
      <c r="B5" s="2" t="s">
        <v>32</v>
      </c>
      <c r="C5" s="2" t="s">
        <v>33</v>
      </c>
      <c r="D5" s="3">
        <v>0.91890000000000005</v>
      </c>
      <c r="E5" s="2">
        <v>0.88190000000000002</v>
      </c>
      <c r="F5" s="3">
        <v>0.89470000000000005</v>
      </c>
      <c r="G5" s="3">
        <v>0.79410000000000003</v>
      </c>
      <c r="H5" s="2">
        <v>0.86080000000000001</v>
      </c>
      <c r="I5" s="3">
        <v>0.90749999999999997</v>
      </c>
      <c r="J5" s="2">
        <v>0.8357</v>
      </c>
      <c r="K5" s="3">
        <v>0.8649</v>
      </c>
      <c r="L5" s="3">
        <v>0.84850000000000003</v>
      </c>
      <c r="M5" s="2">
        <v>0.8649</v>
      </c>
      <c r="N5" s="3">
        <v>81.569999999999993</v>
      </c>
      <c r="O5" s="3">
        <v>11.64</v>
      </c>
      <c r="P5" s="2"/>
      <c r="Q5" s="2" t="s">
        <v>77</v>
      </c>
      <c r="R5" s="3">
        <v>0.47660000000000002</v>
      </c>
      <c r="S5" s="2">
        <v>0.52080000000000004</v>
      </c>
      <c r="T5" s="3">
        <v>0.47370000000000001</v>
      </c>
      <c r="U5" s="3">
        <v>0.47060000000000002</v>
      </c>
      <c r="V5" s="2">
        <v>0.48649999999999999</v>
      </c>
      <c r="W5" s="3">
        <v>0.501</v>
      </c>
      <c r="X5" s="2">
        <v>0.52859999999999996</v>
      </c>
      <c r="Y5" s="3">
        <v>0.51349999999999996</v>
      </c>
      <c r="Z5" s="3">
        <v>0.56059999999999999</v>
      </c>
      <c r="AA5" s="2">
        <v>0.53900000000000003</v>
      </c>
      <c r="AB5" s="3">
        <v>81.61</v>
      </c>
      <c r="AC5" s="3">
        <v>11.88</v>
      </c>
      <c r="AD5" s="2"/>
      <c r="AE5" s="2" t="s">
        <v>132</v>
      </c>
      <c r="AF5" s="3">
        <v>0.86460000000000004</v>
      </c>
      <c r="AG5" s="2">
        <v>0.8125</v>
      </c>
      <c r="AH5" s="3">
        <v>0.68420000000000003</v>
      </c>
      <c r="AI5" s="3">
        <v>0.85289999999999999</v>
      </c>
      <c r="AJ5" s="2">
        <v>0.75360000000000005</v>
      </c>
      <c r="AK5" s="3">
        <v>0.88060000000000005</v>
      </c>
      <c r="AL5" s="2">
        <v>0.80710000000000004</v>
      </c>
      <c r="AM5" s="3">
        <v>0.71619999999999995</v>
      </c>
      <c r="AN5" s="3">
        <v>0.92420000000000002</v>
      </c>
      <c r="AO5" s="2">
        <v>0.80300000000000005</v>
      </c>
      <c r="AP5" s="3">
        <v>81.61</v>
      </c>
      <c r="AQ5" s="3">
        <v>27.46</v>
      </c>
      <c r="AR5" s="2"/>
      <c r="AS5" s="2" t="s">
        <v>133</v>
      </c>
      <c r="AT5" s="3">
        <v>0.83750000000000002</v>
      </c>
      <c r="AU5" s="2">
        <v>0.79169999999999996</v>
      </c>
      <c r="AV5" s="3">
        <v>0.57889999999999997</v>
      </c>
      <c r="AW5" s="3">
        <v>0.83819999999999995</v>
      </c>
      <c r="AX5" s="2">
        <v>0.67179999999999995</v>
      </c>
      <c r="AY5" s="3">
        <v>0.86609999999999998</v>
      </c>
      <c r="AZ5" s="2">
        <v>0.80710000000000004</v>
      </c>
      <c r="BA5" s="3">
        <v>0.58109999999999995</v>
      </c>
      <c r="BB5" s="3">
        <v>0.89390000000000003</v>
      </c>
      <c r="BC5" s="2">
        <v>0.69350000000000001</v>
      </c>
      <c r="BD5" s="3">
        <v>22.11</v>
      </c>
      <c r="BE5" s="3">
        <v>28.47</v>
      </c>
      <c r="BF5" s="3">
        <v>0.41</v>
      </c>
      <c r="BG5" s="2" t="s">
        <v>41</v>
      </c>
    </row>
    <row r="6" spans="1:59" x14ac:dyDescent="0.25">
      <c r="A6" s="2" t="s">
        <v>35</v>
      </c>
      <c r="B6" s="2" t="s">
        <v>42</v>
      </c>
      <c r="C6" s="2" t="s">
        <v>43</v>
      </c>
      <c r="D6" s="3">
        <v>0.85799999999999998</v>
      </c>
      <c r="E6" s="2">
        <v>0.74309999999999998</v>
      </c>
      <c r="F6" s="3">
        <v>0.93420000000000003</v>
      </c>
      <c r="G6" s="3">
        <v>0.63239999999999996</v>
      </c>
      <c r="H6" s="2">
        <v>0.8256</v>
      </c>
      <c r="I6" s="3">
        <v>0.88490000000000002</v>
      </c>
      <c r="J6" s="2">
        <v>0.73570000000000002</v>
      </c>
      <c r="K6" s="3">
        <v>0.89190000000000003</v>
      </c>
      <c r="L6" s="3">
        <v>0.80300000000000005</v>
      </c>
      <c r="M6" s="2">
        <v>0.86270000000000002</v>
      </c>
      <c r="N6" s="3">
        <v>34.17</v>
      </c>
      <c r="O6" s="3">
        <v>5.35</v>
      </c>
      <c r="P6" s="2"/>
      <c r="Q6" s="2" t="s">
        <v>81</v>
      </c>
      <c r="R6" s="3">
        <v>0.4698</v>
      </c>
      <c r="S6" s="2">
        <v>0.47220000000000001</v>
      </c>
      <c r="T6" s="3">
        <v>0.48680000000000001</v>
      </c>
      <c r="U6" s="3">
        <v>0.47060000000000002</v>
      </c>
      <c r="V6" s="2">
        <v>0.49659999999999999</v>
      </c>
      <c r="W6" s="3">
        <v>0.52600000000000002</v>
      </c>
      <c r="X6" s="2">
        <v>0.47139999999999999</v>
      </c>
      <c r="Y6" s="3">
        <v>0.59460000000000002</v>
      </c>
      <c r="Z6" s="3">
        <v>0.51519999999999999</v>
      </c>
      <c r="AA6" s="2">
        <v>0.5867</v>
      </c>
      <c r="AB6" s="3">
        <v>34.19</v>
      </c>
      <c r="AC6" s="3">
        <v>12.72</v>
      </c>
      <c r="AD6" s="2"/>
      <c r="AE6" s="2" t="s">
        <v>134</v>
      </c>
      <c r="AF6" s="3">
        <v>0.64710000000000001</v>
      </c>
      <c r="AG6" s="2">
        <v>0.54169999999999996</v>
      </c>
      <c r="AH6" s="3">
        <v>0.68420000000000003</v>
      </c>
      <c r="AI6" s="3">
        <v>0.51470000000000005</v>
      </c>
      <c r="AJ6" s="2">
        <v>0.64600000000000002</v>
      </c>
      <c r="AK6" s="3">
        <v>0.74529999999999996</v>
      </c>
      <c r="AL6" s="2">
        <v>0.5857</v>
      </c>
      <c r="AM6" s="3">
        <v>0.75680000000000003</v>
      </c>
      <c r="AN6" s="3">
        <v>0.68179999999999996</v>
      </c>
      <c r="AO6" s="2">
        <v>0.74170000000000003</v>
      </c>
      <c r="AP6" s="3">
        <v>34.19</v>
      </c>
      <c r="AQ6" s="3">
        <v>12.23</v>
      </c>
      <c r="AR6" s="2"/>
      <c r="AS6" s="2" t="s">
        <v>135</v>
      </c>
      <c r="AT6" s="3">
        <v>0.1784</v>
      </c>
      <c r="AU6" s="2">
        <v>0.52780000000000005</v>
      </c>
      <c r="AV6" s="3">
        <v>1</v>
      </c>
      <c r="AW6" s="3">
        <v>0</v>
      </c>
      <c r="AX6" s="2">
        <v>0.69089999999999996</v>
      </c>
      <c r="AY6" s="3">
        <v>0.1603</v>
      </c>
      <c r="AZ6" s="2">
        <v>0.52859999999999996</v>
      </c>
      <c r="BA6" s="3">
        <v>1</v>
      </c>
      <c r="BB6" s="3">
        <v>0</v>
      </c>
      <c r="BC6" s="2">
        <v>0.69159999999999999</v>
      </c>
      <c r="BD6" s="3">
        <v>8.9499999999999993</v>
      </c>
      <c r="BE6" s="3">
        <v>53.02</v>
      </c>
      <c r="BF6" s="3">
        <v>0.99</v>
      </c>
      <c r="BG6" s="2" t="s">
        <v>46</v>
      </c>
    </row>
    <row r="7" spans="1:59" x14ac:dyDescent="0.25">
      <c r="A7" s="2" t="s">
        <v>35</v>
      </c>
      <c r="B7" s="2" t="s">
        <v>29</v>
      </c>
      <c r="C7" s="2" t="s">
        <v>30</v>
      </c>
      <c r="D7" s="3">
        <v>0.94269999999999998</v>
      </c>
      <c r="E7" s="2">
        <v>0.90969999999999995</v>
      </c>
      <c r="F7" s="3">
        <v>0.91180000000000005</v>
      </c>
      <c r="G7" s="3">
        <v>0.89470000000000005</v>
      </c>
      <c r="H7" s="2">
        <v>0.89859999999999995</v>
      </c>
      <c r="I7" s="3">
        <v>0.96289999999999998</v>
      </c>
      <c r="J7" s="2">
        <v>0.9214</v>
      </c>
      <c r="K7" s="3">
        <v>0.96970000000000001</v>
      </c>
      <c r="L7" s="3">
        <v>0.89190000000000003</v>
      </c>
      <c r="M7" s="2">
        <v>0.92749999999999999</v>
      </c>
      <c r="N7" s="3">
        <v>41.64</v>
      </c>
      <c r="O7" s="3">
        <v>3.51</v>
      </c>
      <c r="P7" s="2"/>
      <c r="Q7" s="2" t="s">
        <v>73</v>
      </c>
      <c r="R7" s="3">
        <v>0.88249999999999995</v>
      </c>
      <c r="S7" s="2">
        <v>0.52780000000000005</v>
      </c>
      <c r="T7" s="3">
        <v>0.75</v>
      </c>
      <c r="U7" s="3">
        <v>0.85529999999999995</v>
      </c>
      <c r="V7" s="2">
        <v>0.78459999999999996</v>
      </c>
      <c r="W7" s="3">
        <v>0.89800000000000002</v>
      </c>
      <c r="X7" s="2">
        <v>0.52859999999999996</v>
      </c>
      <c r="Y7" s="3">
        <v>0.81820000000000004</v>
      </c>
      <c r="Z7" s="3">
        <v>0.87839999999999996</v>
      </c>
      <c r="AA7" s="2">
        <v>0.83720000000000006</v>
      </c>
      <c r="AB7" s="3">
        <v>41.62</v>
      </c>
      <c r="AC7" s="3">
        <v>4.45</v>
      </c>
      <c r="AD7" s="2"/>
      <c r="AE7" s="2" t="s">
        <v>136</v>
      </c>
      <c r="AF7" s="3">
        <v>0.93630000000000002</v>
      </c>
      <c r="AG7" s="2">
        <v>0.86109999999999998</v>
      </c>
      <c r="AH7" s="3">
        <v>0.80879999999999996</v>
      </c>
      <c r="AI7" s="3">
        <v>0.90790000000000004</v>
      </c>
      <c r="AJ7" s="2">
        <v>0.84619999999999995</v>
      </c>
      <c r="AK7" s="3">
        <v>0.94</v>
      </c>
      <c r="AL7" s="2">
        <v>0.9</v>
      </c>
      <c r="AM7" s="3">
        <v>0.92420000000000002</v>
      </c>
      <c r="AN7" s="3">
        <v>0.91890000000000005</v>
      </c>
      <c r="AO7" s="2">
        <v>0.9173</v>
      </c>
      <c r="AP7" s="3">
        <v>41.62</v>
      </c>
      <c r="AQ7" s="3">
        <v>4.4800000000000004</v>
      </c>
      <c r="AR7" s="2"/>
      <c r="AS7" s="2" t="s">
        <v>137</v>
      </c>
      <c r="AT7" s="3">
        <v>0.93230000000000002</v>
      </c>
      <c r="AU7" s="2">
        <v>0.86109999999999998</v>
      </c>
      <c r="AV7" s="3">
        <v>0.79410000000000003</v>
      </c>
      <c r="AW7" s="3">
        <v>0.92110000000000003</v>
      </c>
      <c r="AX7" s="2">
        <v>0.84379999999999999</v>
      </c>
      <c r="AY7" s="3">
        <v>0.93920000000000003</v>
      </c>
      <c r="AZ7" s="2">
        <v>0.88570000000000004</v>
      </c>
      <c r="BA7" s="3">
        <v>0.89390000000000003</v>
      </c>
      <c r="BB7" s="3">
        <v>0.91890000000000005</v>
      </c>
      <c r="BC7" s="2">
        <v>0.90080000000000005</v>
      </c>
      <c r="BD7" s="3">
        <v>10.95</v>
      </c>
      <c r="BE7" s="3">
        <v>17.47</v>
      </c>
      <c r="BF7" s="3">
        <v>0.24</v>
      </c>
      <c r="BG7" s="2" t="s">
        <v>36</v>
      </c>
    </row>
    <row r="8" spans="1:59" x14ac:dyDescent="0.25">
      <c r="A8" s="2" t="s">
        <v>37</v>
      </c>
      <c r="B8" s="2" t="s">
        <v>32</v>
      </c>
      <c r="C8" s="2" t="s">
        <v>33</v>
      </c>
      <c r="D8" s="3">
        <v>0.89249999999999996</v>
      </c>
      <c r="E8" s="2">
        <v>0.90359999999999996</v>
      </c>
      <c r="F8" s="3">
        <v>0.77380000000000004</v>
      </c>
      <c r="G8" s="3">
        <v>0.82630000000000003</v>
      </c>
      <c r="H8" s="2">
        <v>0.49059999999999998</v>
      </c>
      <c r="I8" s="3">
        <v>0.8952</v>
      </c>
      <c r="J8" s="2">
        <v>0.90210000000000001</v>
      </c>
      <c r="K8" s="3">
        <v>0.84340000000000004</v>
      </c>
      <c r="L8" s="3">
        <v>0.79249999999999998</v>
      </c>
      <c r="M8" s="2">
        <v>0.4803</v>
      </c>
      <c r="N8" s="3">
        <v>81.569999999999993</v>
      </c>
      <c r="O8" s="3">
        <v>13.22</v>
      </c>
      <c r="P8" s="2"/>
      <c r="Q8" s="2" t="s">
        <v>76</v>
      </c>
      <c r="R8" s="3">
        <v>0.75439999999999996</v>
      </c>
      <c r="S8" s="2">
        <v>0.88829999999999998</v>
      </c>
      <c r="T8" s="3">
        <v>0.72619999999999996</v>
      </c>
      <c r="U8" s="3">
        <v>0.63770000000000004</v>
      </c>
      <c r="V8" s="2">
        <v>0.31519999999999998</v>
      </c>
      <c r="W8" s="3">
        <v>0.74070000000000003</v>
      </c>
      <c r="X8" s="2">
        <v>0.88939999999999997</v>
      </c>
      <c r="Y8" s="3">
        <v>0.72889999999999999</v>
      </c>
      <c r="Z8" s="3">
        <v>0.64039999999999997</v>
      </c>
      <c r="AA8" s="2">
        <v>0.3155</v>
      </c>
      <c r="AB8" s="3">
        <v>81.61</v>
      </c>
      <c r="AC8" s="3">
        <v>21.96</v>
      </c>
      <c r="AD8" s="2"/>
      <c r="AE8" s="2" t="s">
        <v>138</v>
      </c>
      <c r="AF8" s="3">
        <v>0.86050000000000004</v>
      </c>
      <c r="AG8" s="2">
        <v>0.88759999999999994</v>
      </c>
      <c r="AH8" s="3">
        <v>0.85709999999999997</v>
      </c>
      <c r="AI8" s="3">
        <v>0.68489999999999995</v>
      </c>
      <c r="AJ8" s="2">
        <v>0.39290000000000003</v>
      </c>
      <c r="AK8" s="3">
        <v>0.86880000000000002</v>
      </c>
      <c r="AL8" s="2">
        <v>0.88939999999999997</v>
      </c>
      <c r="AM8" s="3">
        <v>0.93369999999999997</v>
      </c>
      <c r="AN8" s="3">
        <v>0.67490000000000006</v>
      </c>
      <c r="AO8" s="2">
        <v>0.41060000000000002</v>
      </c>
      <c r="AP8" s="3">
        <v>81.61</v>
      </c>
      <c r="AQ8" s="3">
        <v>11.76</v>
      </c>
      <c r="AR8" s="2"/>
      <c r="AS8" s="2" t="s">
        <v>139</v>
      </c>
      <c r="AT8" s="3">
        <v>0.84250000000000003</v>
      </c>
      <c r="AU8" s="2">
        <v>0.52929999999999999</v>
      </c>
      <c r="AV8" s="3">
        <v>0.98209999999999997</v>
      </c>
      <c r="AW8" s="3">
        <v>0.41620000000000001</v>
      </c>
      <c r="AX8" s="2">
        <v>0.29649999999999999</v>
      </c>
      <c r="AY8" s="3">
        <v>0.84619999999999995</v>
      </c>
      <c r="AZ8" s="2">
        <v>0.51370000000000005</v>
      </c>
      <c r="BA8" s="3">
        <v>1</v>
      </c>
      <c r="BB8" s="3">
        <v>0.4037</v>
      </c>
      <c r="BC8" s="2">
        <v>0.29430000000000001</v>
      </c>
      <c r="BD8" s="3">
        <v>22.11</v>
      </c>
      <c r="BE8" s="3">
        <v>28.69</v>
      </c>
      <c r="BF8" s="3">
        <v>0.4</v>
      </c>
      <c r="BG8" s="2" t="s">
        <v>40</v>
      </c>
    </row>
    <row r="9" spans="1:59" x14ac:dyDescent="0.25">
      <c r="A9" s="2" t="s">
        <v>37</v>
      </c>
      <c r="B9" s="2" t="s">
        <v>42</v>
      </c>
      <c r="C9" s="2" t="s">
        <v>140</v>
      </c>
      <c r="D9" s="3">
        <v>0.85909999999999997</v>
      </c>
      <c r="E9" s="2">
        <v>0.88429999999999997</v>
      </c>
      <c r="F9" s="3">
        <v>0.82740000000000002</v>
      </c>
      <c r="G9" s="3">
        <v>0.7298</v>
      </c>
      <c r="H9" s="2">
        <v>0.41620000000000001</v>
      </c>
      <c r="I9" s="3">
        <v>0.8498</v>
      </c>
      <c r="J9" s="2">
        <v>0.88539999999999996</v>
      </c>
      <c r="K9" s="3">
        <v>0.82530000000000003</v>
      </c>
      <c r="L9" s="3">
        <v>0.72729999999999995</v>
      </c>
      <c r="M9" s="2">
        <v>0.4108</v>
      </c>
      <c r="N9" s="3">
        <v>126.04</v>
      </c>
      <c r="O9" s="3">
        <v>6.73</v>
      </c>
      <c r="P9" s="2"/>
      <c r="Q9" s="2" t="s">
        <v>141</v>
      </c>
      <c r="R9" s="3"/>
      <c r="S9" s="2"/>
      <c r="T9" s="3"/>
      <c r="U9" s="3"/>
      <c r="V9" s="2"/>
      <c r="W9" s="3"/>
      <c r="X9" s="2"/>
      <c r="Y9" s="3"/>
      <c r="Z9" s="3"/>
      <c r="AA9" s="2"/>
      <c r="AB9" s="3"/>
      <c r="AC9" s="3"/>
      <c r="AD9" s="2"/>
      <c r="AE9" s="2"/>
      <c r="AF9" s="3"/>
      <c r="AG9" s="2"/>
      <c r="AH9" s="3"/>
      <c r="AI9" s="3"/>
      <c r="AJ9" s="2"/>
      <c r="AK9" s="3"/>
      <c r="AL9" s="2"/>
      <c r="AM9" s="3"/>
      <c r="AN9" s="3"/>
      <c r="AO9" s="2"/>
      <c r="AP9" s="3"/>
      <c r="AQ9" s="3"/>
      <c r="AR9" s="2"/>
      <c r="AS9" s="2"/>
      <c r="AT9" s="3"/>
      <c r="AU9" s="2"/>
      <c r="AV9" s="3"/>
      <c r="AW9" s="3"/>
      <c r="AX9" s="2"/>
      <c r="AY9" s="3"/>
      <c r="AZ9" s="2"/>
      <c r="BA9" s="3"/>
      <c r="BB9" s="3"/>
      <c r="BC9" s="2"/>
      <c r="BD9" s="3"/>
      <c r="BE9" s="3"/>
      <c r="BF9" s="3"/>
      <c r="BG9" s="2"/>
    </row>
    <row r="10" spans="1:59" x14ac:dyDescent="0.25">
      <c r="A10" s="2" t="s">
        <v>37</v>
      </c>
      <c r="B10" s="2" t="s">
        <v>42</v>
      </c>
      <c r="C10" s="2" t="s">
        <v>43</v>
      </c>
      <c r="D10" s="3">
        <v>0.88959999999999995</v>
      </c>
      <c r="E10" s="2">
        <v>0.89690000000000003</v>
      </c>
      <c r="F10" s="3">
        <v>0.91069999999999995</v>
      </c>
      <c r="G10" s="3">
        <v>0.71179999999999999</v>
      </c>
      <c r="H10" s="2">
        <v>0.43340000000000001</v>
      </c>
      <c r="I10" s="3">
        <v>0.88600000000000001</v>
      </c>
      <c r="J10" s="2">
        <v>0.89410000000000001</v>
      </c>
      <c r="K10" s="3">
        <v>0.93979999999999997</v>
      </c>
      <c r="L10" s="3">
        <v>0.69289999999999996</v>
      </c>
      <c r="M10" s="2">
        <v>0.42620000000000002</v>
      </c>
      <c r="N10" s="3">
        <v>34.17</v>
      </c>
      <c r="O10" s="3">
        <v>7.69</v>
      </c>
      <c r="P10" s="2"/>
      <c r="Q10" s="2" t="s">
        <v>80</v>
      </c>
      <c r="R10" s="3">
        <v>0.84509999999999996</v>
      </c>
      <c r="S10" s="2">
        <v>0.88829999999999998</v>
      </c>
      <c r="T10" s="3">
        <v>0.86899999999999999</v>
      </c>
      <c r="U10" s="3">
        <v>0.67959999999999998</v>
      </c>
      <c r="V10" s="2">
        <v>0.39350000000000002</v>
      </c>
      <c r="W10" s="3">
        <v>0.84699999999999998</v>
      </c>
      <c r="X10" s="2">
        <v>0.88939999999999997</v>
      </c>
      <c r="Y10" s="3">
        <v>0.89759999999999995</v>
      </c>
      <c r="Z10" s="3">
        <v>0.67120000000000002</v>
      </c>
      <c r="AA10" s="2">
        <v>0.3952</v>
      </c>
      <c r="AB10" s="3">
        <v>34.19</v>
      </c>
      <c r="AC10" s="3">
        <v>5.25</v>
      </c>
      <c r="AD10" s="2"/>
      <c r="AE10" s="2" t="s">
        <v>142</v>
      </c>
      <c r="AF10" s="3">
        <v>0.87250000000000005</v>
      </c>
      <c r="AG10" s="2">
        <v>0.88959999999999995</v>
      </c>
      <c r="AH10" s="3">
        <v>0.91669999999999996</v>
      </c>
      <c r="AI10" s="3">
        <v>0.66539999999999999</v>
      </c>
      <c r="AJ10" s="2">
        <v>0.40050000000000002</v>
      </c>
      <c r="AK10" s="3">
        <v>0.86350000000000005</v>
      </c>
      <c r="AL10" s="2">
        <v>0.89139999999999997</v>
      </c>
      <c r="AM10" s="3">
        <v>0.92769999999999997</v>
      </c>
      <c r="AN10" s="3">
        <v>0.65239999999999998</v>
      </c>
      <c r="AO10" s="2">
        <v>0.39290000000000003</v>
      </c>
      <c r="AP10" s="3">
        <v>34.19</v>
      </c>
      <c r="AQ10" s="3">
        <v>5.44</v>
      </c>
      <c r="AR10" s="2"/>
      <c r="AS10" s="2" t="s">
        <v>143</v>
      </c>
      <c r="AT10" s="3">
        <v>0.47470000000000001</v>
      </c>
      <c r="AU10" s="2">
        <v>0.88829999999999998</v>
      </c>
      <c r="AV10" s="3">
        <v>0</v>
      </c>
      <c r="AW10" s="3">
        <v>1</v>
      </c>
      <c r="AX10" s="2">
        <v>0</v>
      </c>
      <c r="AY10" s="3">
        <v>0.45500000000000002</v>
      </c>
      <c r="AZ10" s="2">
        <v>0.88939999999999997</v>
      </c>
      <c r="BA10" s="3">
        <v>0</v>
      </c>
      <c r="BB10" s="3">
        <v>1</v>
      </c>
      <c r="BC10" s="2">
        <v>0</v>
      </c>
      <c r="BD10" s="3">
        <v>8.9499999999999993</v>
      </c>
      <c r="BE10" s="3">
        <v>53.32</v>
      </c>
      <c r="BF10" s="3">
        <v>0.99</v>
      </c>
      <c r="BG10" s="2" t="s">
        <v>45</v>
      </c>
    </row>
    <row r="11" spans="1:59" x14ac:dyDescent="0.25">
      <c r="A11" s="2" t="s">
        <v>37</v>
      </c>
      <c r="B11" s="2" t="s">
        <v>42</v>
      </c>
      <c r="C11" s="2" t="s">
        <v>47</v>
      </c>
      <c r="D11" s="3">
        <v>0.86570000000000003</v>
      </c>
      <c r="E11" s="2">
        <v>0.89359999999999995</v>
      </c>
      <c r="F11" s="3">
        <v>0.88690000000000002</v>
      </c>
      <c r="G11" s="3">
        <v>0.69159999999999999</v>
      </c>
      <c r="H11" s="2">
        <v>0.4088</v>
      </c>
      <c r="I11" s="3">
        <v>0.86719999999999997</v>
      </c>
      <c r="J11" s="2">
        <v>0.89410000000000001</v>
      </c>
      <c r="K11" s="3">
        <v>0.95179999999999998</v>
      </c>
      <c r="L11" s="3">
        <v>0.66520000000000001</v>
      </c>
      <c r="M11" s="2">
        <v>0.40989999999999999</v>
      </c>
      <c r="N11" s="3">
        <v>10.17</v>
      </c>
      <c r="O11" s="3">
        <v>3.41</v>
      </c>
      <c r="P11" s="2"/>
      <c r="Q11" s="2" t="s">
        <v>83</v>
      </c>
      <c r="R11" s="3">
        <v>0.5847</v>
      </c>
      <c r="S11" s="2">
        <v>0.88829999999999998</v>
      </c>
      <c r="T11" s="3">
        <v>0.5655</v>
      </c>
      <c r="U11" s="3">
        <v>0.55089999999999995</v>
      </c>
      <c r="V11" s="2">
        <v>0.22020000000000001</v>
      </c>
      <c r="W11" s="3">
        <v>0.5766</v>
      </c>
      <c r="X11" s="2">
        <v>0.88939999999999997</v>
      </c>
      <c r="Y11" s="3">
        <v>0.59640000000000004</v>
      </c>
      <c r="Z11" s="3">
        <v>0.55579999999999996</v>
      </c>
      <c r="AA11" s="2">
        <v>0.23080000000000001</v>
      </c>
      <c r="AB11" s="3">
        <v>10.18</v>
      </c>
      <c r="AC11" s="3">
        <v>4.99</v>
      </c>
      <c r="AD11" s="2"/>
      <c r="AE11" s="2" t="s">
        <v>144</v>
      </c>
      <c r="AF11" s="3">
        <v>0.85350000000000004</v>
      </c>
      <c r="AG11" s="2">
        <v>0.88629999999999998</v>
      </c>
      <c r="AH11" s="3">
        <v>0.86899999999999999</v>
      </c>
      <c r="AI11" s="3">
        <v>0.70879999999999999</v>
      </c>
      <c r="AJ11" s="2">
        <v>0.41539999999999999</v>
      </c>
      <c r="AK11" s="3">
        <v>0.84519999999999995</v>
      </c>
      <c r="AL11" s="2">
        <v>0.8921</v>
      </c>
      <c r="AM11" s="3">
        <v>0.86750000000000005</v>
      </c>
      <c r="AN11" s="3">
        <v>0.68010000000000004</v>
      </c>
      <c r="AO11" s="2">
        <v>0.39079999999999998</v>
      </c>
      <c r="AP11" s="3">
        <v>10.19</v>
      </c>
      <c r="AQ11" s="3">
        <v>3.26</v>
      </c>
      <c r="AR11" s="2"/>
      <c r="AS11" s="2" t="s">
        <v>145</v>
      </c>
      <c r="AT11" s="3">
        <v>0</v>
      </c>
      <c r="AU11" s="2">
        <v>0.88829999999999998</v>
      </c>
      <c r="AV11" s="3">
        <v>0</v>
      </c>
      <c r="AW11" s="3">
        <v>1</v>
      </c>
      <c r="AX11" s="2">
        <v>0</v>
      </c>
      <c r="AY11" s="3">
        <v>0</v>
      </c>
      <c r="AZ11" s="2">
        <v>0.88939999999999997</v>
      </c>
      <c r="BA11" s="3">
        <v>0</v>
      </c>
      <c r="BB11" s="3">
        <v>1</v>
      </c>
      <c r="BC11" s="2">
        <v>0</v>
      </c>
      <c r="BD11" s="3">
        <v>2.78</v>
      </c>
      <c r="BE11" s="3">
        <v>1.65</v>
      </c>
      <c r="BF11" s="3">
        <v>0.39</v>
      </c>
      <c r="BG11" s="2" t="s">
        <v>48</v>
      </c>
    </row>
    <row r="12" spans="1:59" x14ac:dyDescent="0.25">
      <c r="A12" s="2" t="s">
        <v>37</v>
      </c>
      <c r="B12" s="2" t="s">
        <v>29</v>
      </c>
      <c r="C12" s="2" t="s">
        <v>146</v>
      </c>
      <c r="D12" s="3">
        <v>0.87160000000000004</v>
      </c>
      <c r="E12" s="2">
        <v>0.89629999999999999</v>
      </c>
      <c r="F12" s="3">
        <v>0.85119999999999996</v>
      </c>
      <c r="G12" s="3">
        <v>0.71330000000000005</v>
      </c>
      <c r="H12" s="2">
        <v>0.41210000000000002</v>
      </c>
      <c r="I12" s="3">
        <v>0.86890000000000001</v>
      </c>
      <c r="J12" s="2">
        <v>0.90139999999999998</v>
      </c>
      <c r="K12" s="3">
        <v>0.88549999999999995</v>
      </c>
      <c r="L12" s="3">
        <v>0.70640000000000003</v>
      </c>
      <c r="M12" s="2">
        <v>0.41699999999999998</v>
      </c>
      <c r="N12" s="3">
        <v>51.68</v>
      </c>
      <c r="O12" s="3">
        <v>12.86</v>
      </c>
      <c r="P12" s="2"/>
      <c r="Q12" s="2" t="s">
        <v>147</v>
      </c>
      <c r="R12" s="3"/>
      <c r="S12" s="2"/>
      <c r="T12" s="3"/>
      <c r="U12" s="3"/>
      <c r="V12" s="2"/>
      <c r="W12" s="3"/>
      <c r="X12" s="2"/>
      <c r="Y12" s="3"/>
      <c r="Z12" s="3"/>
      <c r="AA12" s="2"/>
      <c r="AB12" s="3"/>
      <c r="AC12" s="3"/>
      <c r="AD12" s="2"/>
      <c r="AE12" s="2"/>
      <c r="AF12" s="3"/>
      <c r="AG12" s="2"/>
      <c r="AH12" s="3"/>
      <c r="AI12" s="3"/>
      <c r="AJ12" s="2"/>
      <c r="AK12" s="3"/>
      <c r="AL12" s="2"/>
      <c r="AM12" s="3"/>
      <c r="AN12" s="3"/>
      <c r="AO12" s="2"/>
      <c r="AP12" s="3"/>
      <c r="AQ12" s="3"/>
      <c r="AR12" s="2"/>
      <c r="AS12" s="2"/>
      <c r="AT12" s="3"/>
      <c r="AU12" s="2"/>
      <c r="AV12" s="3"/>
      <c r="AW12" s="3"/>
      <c r="AX12" s="2"/>
      <c r="AY12" s="3"/>
      <c r="AZ12" s="2"/>
      <c r="BA12" s="3"/>
      <c r="BB12" s="3"/>
      <c r="BC12" s="2"/>
      <c r="BD12" s="3"/>
      <c r="BE12" s="3"/>
      <c r="BF12" s="3"/>
      <c r="BG12" s="2"/>
    </row>
    <row r="13" spans="1:59" x14ac:dyDescent="0.25">
      <c r="A13" s="2" t="s">
        <v>37</v>
      </c>
      <c r="B13" s="2" t="s">
        <v>29</v>
      </c>
      <c r="C13" s="2" t="s">
        <v>30</v>
      </c>
      <c r="D13" s="3">
        <v>0.87860000000000005</v>
      </c>
      <c r="E13" s="2">
        <v>0.89759999999999995</v>
      </c>
      <c r="F13" s="3">
        <v>0.9405</v>
      </c>
      <c r="G13" s="3">
        <v>0.68259999999999998</v>
      </c>
      <c r="H13" s="2">
        <v>0.42130000000000001</v>
      </c>
      <c r="I13" s="3">
        <v>0.86850000000000005</v>
      </c>
      <c r="J13" s="2">
        <v>0.89739999999999998</v>
      </c>
      <c r="K13" s="3">
        <v>0.93369999999999997</v>
      </c>
      <c r="L13" s="3">
        <v>0.67269999999999996</v>
      </c>
      <c r="M13" s="2">
        <v>0.40899999999999997</v>
      </c>
      <c r="N13" s="3">
        <v>41.64</v>
      </c>
      <c r="O13" s="3">
        <v>3.82</v>
      </c>
      <c r="P13" s="2"/>
      <c r="Q13" s="2" t="s">
        <v>148</v>
      </c>
      <c r="R13" s="3"/>
      <c r="S13" s="2"/>
      <c r="T13" s="3"/>
      <c r="U13" s="3"/>
      <c r="V13" s="2"/>
      <c r="W13" s="3"/>
      <c r="X13" s="2"/>
      <c r="Y13" s="3"/>
      <c r="Z13" s="3"/>
      <c r="AA13" s="2"/>
      <c r="AB13" s="3"/>
      <c r="AC13" s="3"/>
      <c r="AD13" s="2"/>
      <c r="AE13" s="2"/>
      <c r="AF13" s="3"/>
      <c r="AG13" s="2"/>
      <c r="AH13" s="3"/>
      <c r="AI13" s="3"/>
      <c r="AJ13" s="2"/>
      <c r="AK13" s="3"/>
      <c r="AL13" s="2"/>
      <c r="AM13" s="3"/>
      <c r="AN13" s="3"/>
      <c r="AO13" s="2"/>
      <c r="AP13" s="3"/>
      <c r="AQ13" s="3"/>
      <c r="AR13" s="2"/>
      <c r="AS13" s="2"/>
      <c r="AT13" s="3"/>
      <c r="AU13" s="2"/>
      <c r="AV13" s="3"/>
      <c r="AW13" s="3"/>
      <c r="AX13" s="2"/>
      <c r="AY13" s="3"/>
      <c r="AZ13" s="2"/>
      <c r="BA13" s="3"/>
      <c r="BB13" s="3"/>
      <c r="BC13" s="2"/>
      <c r="BD13" s="3"/>
      <c r="BE13" s="3"/>
      <c r="BF13" s="3"/>
      <c r="BG13" s="2"/>
    </row>
    <row r="14" spans="1:59" x14ac:dyDescent="0.25">
      <c r="A14" s="2" t="s">
        <v>37</v>
      </c>
      <c r="B14" s="2" t="s">
        <v>29</v>
      </c>
      <c r="C14" s="2" t="s">
        <v>38</v>
      </c>
      <c r="D14" s="3">
        <v>0.88370000000000004</v>
      </c>
      <c r="E14" s="2">
        <v>0.89759999999999995</v>
      </c>
      <c r="F14" s="3">
        <v>0.84519999999999995</v>
      </c>
      <c r="G14" s="3">
        <v>0.75070000000000003</v>
      </c>
      <c r="H14" s="2">
        <v>0.44169999999999998</v>
      </c>
      <c r="I14" s="3">
        <v>0.87109999999999999</v>
      </c>
      <c r="J14" s="2">
        <v>0.90010000000000001</v>
      </c>
      <c r="K14" s="3">
        <v>0.84340000000000004</v>
      </c>
      <c r="L14" s="3">
        <v>0.74160000000000004</v>
      </c>
      <c r="M14" s="2">
        <v>0.43009999999999998</v>
      </c>
      <c r="N14" s="3">
        <v>6.28</v>
      </c>
      <c r="O14" s="3">
        <v>3.09</v>
      </c>
      <c r="P14" s="2"/>
      <c r="Q14" s="2" t="s">
        <v>75</v>
      </c>
      <c r="R14" s="3">
        <v>0.83620000000000005</v>
      </c>
      <c r="S14" s="2">
        <v>0.88829999999999998</v>
      </c>
      <c r="T14" s="3">
        <v>0.89880000000000004</v>
      </c>
      <c r="U14" s="3">
        <v>0.62570000000000003</v>
      </c>
      <c r="V14" s="2">
        <v>0.36870000000000003</v>
      </c>
      <c r="W14" s="3">
        <v>0.8468</v>
      </c>
      <c r="X14" s="2">
        <v>0.88870000000000005</v>
      </c>
      <c r="Y14" s="3">
        <v>0.90959999999999996</v>
      </c>
      <c r="Z14" s="3">
        <v>0.62319999999999998</v>
      </c>
      <c r="AA14" s="2">
        <v>0.36830000000000002</v>
      </c>
      <c r="AB14" s="3">
        <v>6.26</v>
      </c>
      <c r="AC14" s="3">
        <v>3.45</v>
      </c>
      <c r="AD14" s="2"/>
      <c r="AE14" s="2" t="s">
        <v>149</v>
      </c>
      <c r="AF14" s="3">
        <v>0.89659999999999995</v>
      </c>
      <c r="AG14" s="2">
        <v>0.89759999999999995</v>
      </c>
      <c r="AH14" s="3">
        <v>0.85119999999999996</v>
      </c>
      <c r="AI14" s="3">
        <v>0.78669999999999995</v>
      </c>
      <c r="AJ14" s="2">
        <v>0.47989999999999999</v>
      </c>
      <c r="AK14" s="3">
        <v>0.88660000000000005</v>
      </c>
      <c r="AL14" s="2">
        <v>0.90810000000000002</v>
      </c>
      <c r="AM14" s="3">
        <v>0.84340000000000004</v>
      </c>
      <c r="AN14" s="3">
        <v>0.76180000000000003</v>
      </c>
      <c r="AO14" s="2">
        <v>0.44869999999999999</v>
      </c>
      <c r="AP14" s="3">
        <v>6.26</v>
      </c>
      <c r="AQ14" s="3">
        <v>3.44</v>
      </c>
      <c r="AR14" s="2"/>
      <c r="AS14" s="2" t="s">
        <v>150</v>
      </c>
      <c r="AT14" s="3">
        <v>0.89739999999999998</v>
      </c>
      <c r="AU14" s="2">
        <v>0.90029999999999999</v>
      </c>
      <c r="AV14" s="3">
        <v>0.86899999999999999</v>
      </c>
      <c r="AW14" s="3">
        <v>0.74929999999999997</v>
      </c>
      <c r="AX14" s="2">
        <v>0.44990000000000002</v>
      </c>
      <c r="AY14" s="3">
        <v>0.88619999999999999</v>
      </c>
      <c r="AZ14" s="2">
        <v>0.90339999999999998</v>
      </c>
      <c r="BA14" s="3">
        <v>0.85540000000000005</v>
      </c>
      <c r="BB14" s="3">
        <v>0.7258</v>
      </c>
      <c r="BC14" s="2">
        <v>0.4214</v>
      </c>
      <c r="BD14" s="3">
        <v>1.98</v>
      </c>
      <c r="BE14" s="3">
        <v>3.56</v>
      </c>
      <c r="BF14" s="3">
        <v>0.94</v>
      </c>
      <c r="BG14" s="2" t="s">
        <v>39</v>
      </c>
    </row>
    <row r="15" spans="1:59" x14ac:dyDescent="0.25">
      <c r="A15" s="2" t="s">
        <v>37</v>
      </c>
      <c r="B15" s="2" t="s">
        <v>29</v>
      </c>
      <c r="C15" s="2" t="s">
        <v>151</v>
      </c>
      <c r="D15" s="3">
        <v>0.88980000000000004</v>
      </c>
      <c r="E15" s="2">
        <v>0.90029999999999999</v>
      </c>
      <c r="F15" s="3">
        <v>0.88100000000000001</v>
      </c>
      <c r="G15" s="3">
        <v>0.72230000000000005</v>
      </c>
      <c r="H15" s="2">
        <v>0.43090000000000001</v>
      </c>
      <c r="I15" s="3">
        <v>0.87719999999999998</v>
      </c>
      <c r="J15" s="2">
        <v>0.90139999999999998</v>
      </c>
      <c r="K15" s="3">
        <v>0.89759999999999995</v>
      </c>
      <c r="L15" s="3">
        <v>0.70640000000000003</v>
      </c>
      <c r="M15" s="2">
        <v>0.42149999999999999</v>
      </c>
      <c r="N15" s="3">
        <v>21.95</v>
      </c>
      <c r="O15" s="3">
        <v>2.99</v>
      </c>
      <c r="P15" s="2"/>
      <c r="Q15" s="2" t="s">
        <v>152</v>
      </c>
      <c r="R15" s="3"/>
      <c r="S15" s="2"/>
      <c r="T15" s="3"/>
      <c r="U15" s="3"/>
      <c r="V15" s="2"/>
      <c r="W15" s="3"/>
      <c r="X15" s="2"/>
      <c r="Y15" s="3"/>
      <c r="Z15" s="3"/>
      <c r="AA15" s="2"/>
      <c r="AB15" s="3"/>
      <c r="AC15" s="3"/>
      <c r="AD15" s="2"/>
      <c r="AE15" s="2"/>
      <c r="AF15" s="3"/>
      <c r="AG15" s="2"/>
      <c r="AH15" s="3"/>
      <c r="AI15" s="3"/>
      <c r="AJ15" s="2"/>
      <c r="AK15" s="3"/>
      <c r="AL15" s="2"/>
      <c r="AM15" s="3"/>
      <c r="AN15" s="3"/>
      <c r="AO15" s="2"/>
      <c r="AP15" s="3"/>
      <c r="AQ15" s="3"/>
      <c r="AR15" s="2"/>
      <c r="AS15" s="2"/>
      <c r="AT15" s="3"/>
      <c r="AU15" s="2"/>
      <c r="AV15" s="3"/>
      <c r="AW15" s="3"/>
      <c r="AX15" s="2"/>
      <c r="AY15" s="3"/>
      <c r="AZ15" s="2"/>
      <c r="BA15" s="3"/>
      <c r="BB15" s="3"/>
      <c r="BC15" s="2"/>
      <c r="BD15" s="3"/>
      <c r="BE15" s="3"/>
      <c r="BF15" s="3"/>
      <c r="BG15" s="2"/>
    </row>
    <row r="16" spans="1:59" x14ac:dyDescent="0.25">
      <c r="A16" s="2" t="s">
        <v>37</v>
      </c>
      <c r="B16" s="2" t="s">
        <v>29</v>
      </c>
      <c r="C16" s="2" t="s">
        <v>153</v>
      </c>
      <c r="D16" s="3">
        <v>0.89659999999999995</v>
      </c>
      <c r="E16" s="2">
        <v>0.90029999999999999</v>
      </c>
      <c r="F16" s="3">
        <v>0.85119999999999996</v>
      </c>
      <c r="G16" s="3">
        <v>0.78290000000000004</v>
      </c>
      <c r="H16" s="2">
        <v>0.47589999999999999</v>
      </c>
      <c r="I16" s="3">
        <v>0.87629999999999997</v>
      </c>
      <c r="J16" s="2">
        <v>0.89870000000000005</v>
      </c>
      <c r="K16" s="3">
        <v>0.84340000000000004</v>
      </c>
      <c r="L16" s="3">
        <v>0.76249999999999996</v>
      </c>
      <c r="M16" s="2">
        <v>0.44940000000000002</v>
      </c>
      <c r="N16" s="3">
        <v>113.82</v>
      </c>
      <c r="O16" s="3">
        <v>5.51</v>
      </c>
      <c r="P16" s="2"/>
      <c r="Q16" s="2" t="s">
        <v>154</v>
      </c>
      <c r="R16" s="3"/>
      <c r="S16" s="2"/>
      <c r="T16" s="3"/>
      <c r="U16" s="3"/>
      <c r="V16" s="2"/>
      <c r="W16" s="3"/>
      <c r="X16" s="2"/>
      <c r="Y16" s="3"/>
      <c r="Z16" s="3"/>
      <c r="AA16" s="2"/>
      <c r="AB16" s="3"/>
      <c r="AC16" s="3"/>
      <c r="AD16" s="2"/>
      <c r="AE16" s="2"/>
      <c r="AF16" s="3"/>
      <c r="AG16" s="2"/>
      <c r="AH16" s="3"/>
      <c r="AI16" s="3"/>
      <c r="AJ16" s="2"/>
      <c r="AK16" s="3"/>
      <c r="AL16" s="2"/>
      <c r="AM16" s="3"/>
      <c r="AN16" s="3"/>
      <c r="AO16" s="2"/>
      <c r="AP16" s="3"/>
      <c r="AQ16" s="3"/>
      <c r="AR16" s="2"/>
      <c r="AS16" s="2"/>
      <c r="AT16" s="3"/>
      <c r="AU16" s="2"/>
      <c r="AV16" s="3"/>
      <c r="AW16" s="3"/>
      <c r="AX16" s="2"/>
      <c r="AY16" s="3"/>
      <c r="AZ16" s="2"/>
      <c r="BA16" s="3"/>
      <c r="BB16" s="3"/>
      <c r="BC16" s="2"/>
      <c r="BD16" s="3"/>
      <c r="BE16" s="3"/>
      <c r="BF16" s="3"/>
      <c r="BG16" s="2"/>
    </row>
    <row r="17" spans="1:59" x14ac:dyDescent="0.25">
      <c r="A17" s="2" t="s">
        <v>155</v>
      </c>
      <c r="B17" s="2" t="s">
        <v>32</v>
      </c>
      <c r="C17" s="2" t="s">
        <v>33</v>
      </c>
      <c r="D17" s="3">
        <v>0.62350000000000005</v>
      </c>
      <c r="E17" s="2">
        <v>0.79900000000000004</v>
      </c>
      <c r="F17" s="3">
        <v>0.5877</v>
      </c>
      <c r="G17" s="3">
        <v>0.57879999999999998</v>
      </c>
      <c r="H17" s="2">
        <v>0.35639999999999999</v>
      </c>
      <c r="I17" s="3">
        <v>0.63529999999999998</v>
      </c>
      <c r="J17" s="2">
        <v>0.80659999999999998</v>
      </c>
      <c r="K17" s="3">
        <v>0.59819999999999995</v>
      </c>
      <c r="L17" s="3">
        <v>0.63849999999999996</v>
      </c>
      <c r="M17" s="2">
        <v>0.38729999999999998</v>
      </c>
      <c r="N17" s="3">
        <v>81.569999999999993</v>
      </c>
      <c r="O17" s="3">
        <v>11.68</v>
      </c>
      <c r="P17" s="2"/>
      <c r="Q17" s="2" t="s">
        <v>156</v>
      </c>
      <c r="R17" s="3"/>
      <c r="S17" s="2"/>
      <c r="T17" s="3"/>
      <c r="U17" s="3"/>
      <c r="V17" s="2"/>
      <c r="W17" s="3"/>
      <c r="X17" s="2"/>
      <c r="Y17" s="3"/>
      <c r="Z17" s="3"/>
      <c r="AA17" s="2"/>
      <c r="AB17" s="3"/>
      <c r="AC17" s="3"/>
      <c r="AD17" s="2"/>
      <c r="AE17" s="2"/>
      <c r="AF17" s="3"/>
      <c r="AG17" s="2"/>
      <c r="AH17" s="3"/>
      <c r="AI17" s="3"/>
      <c r="AJ17" s="2"/>
      <c r="AK17" s="3"/>
      <c r="AL17" s="2"/>
      <c r="AM17" s="3"/>
      <c r="AN17" s="3"/>
      <c r="AO17" s="2"/>
      <c r="AP17" s="3"/>
      <c r="AQ17" s="3"/>
      <c r="AR17" s="2"/>
      <c r="AS17" s="2"/>
      <c r="AT17" s="3"/>
      <c r="AU17" s="2"/>
      <c r="AV17" s="3"/>
      <c r="AW17" s="3"/>
      <c r="AX17" s="2"/>
      <c r="AY17" s="3"/>
      <c r="AZ17" s="2"/>
      <c r="BA17" s="3"/>
      <c r="BB17" s="3"/>
      <c r="BC17" s="2"/>
      <c r="BD17" s="3"/>
      <c r="BE17" s="3"/>
      <c r="BF17" s="3"/>
      <c r="BG17" s="2"/>
    </row>
    <row r="18" spans="1:59" x14ac:dyDescent="0.25">
      <c r="A18" s="2" t="s">
        <v>155</v>
      </c>
      <c r="B18" s="2" t="s">
        <v>42</v>
      </c>
      <c r="C18" s="2" t="s">
        <v>47</v>
      </c>
      <c r="D18" s="3">
        <v>0.6552</v>
      </c>
      <c r="E18" s="2">
        <v>0.8024</v>
      </c>
      <c r="F18" s="3">
        <v>0.63160000000000005</v>
      </c>
      <c r="G18" s="3">
        <v>0.59179999999999999</v>
      </c>
      <c r="H18" s="2">
        <v>0.38400000000000001</v>
      </c>
      <c r="I18" s="3">
        <v>0.61580000000000001</v>
      </c>
      <c r="J18" s="2">
        <v>0.80310000000000004</v>
      </c>
      <c r="K18" s="3">
        <v>0.54459999999999997</v>
      </c>
      <c r="L18" s="3">
        <v>0.66669999999999996</v>
      </c>
      <c r="M18" s="2">
        <v>0.37309999999999999</v>
      </c>
      <c r="N18" s="3">
        <v>10.17</v>
      </c>
      <c r="O18" s="3">
        <v>3.08</v>
      </c>
      <c r="P18" s="2"/>
      <c r="Q18" s="2" t="s">
        <v>157</v>
      </c>
      <c r="R18" s="3"/>
      <c r="S18" s="2"/>
      <c r="T18" s="3"/>
      <c r="U18" s="3"/>
      <c r="V18" s="2"/>
      <c r="W18" s="3"/>
      <c r="X18" s="2"/>
      <c r="Y18" s="3"/>
      <c r="Z18" s="3"/>
      <c r="AA18" s="2"/>
      <c r="AB18" s="3"/>
      <c r="AC18" s="3"/>
      <c r="AD18" s="2"/>
      <c r="AE18" s="2"/>
      <c r="AF18" s="3"/>
      <c r="AG18" s="2"/>
      <c r="AH18" s="3"/>
      <c r="AI18" s="3"/>
      <c r="AJ18" s="2"/>
      <c r="AK18" s="3"/>
      <c r="AL18" s="2"/>
      <c r="AM18" s="3"/>
      <c r="AN18" s="3"/>
      <c r="AO18" s="2"/>
      <c r="AP18" s="3"/>
      <c r="AQ18" s="3"/>
      <c r="AR18" s="2"/>
      <c r="AS18" s="2"/>
      <c r="AT18" s="3"/>
      <c r="AU18" s="2"/>
      <c r="AV18" s="3"/>
      <c r="AW18" s="3"/>
      <c r="AX18" s="2"/>
      <c r="AY18" s="3"/>
      <c r="AZ18" s="2"/>
      <c r="BA18" s="3"/>
      <c r="BB18" s="3"/>
      <c r="BC18" s="2"/>
      <c r="BD18" s="3"/>
      <c r="BE18" s="3"/>
      <c r="BF18" s="3"/>
      <c r="BG18" s="2"/>
    </row>
  </sheetData>
  <conditionalFormatting sqref="D2:D18">
    <cfRule type="colorScale" priority="1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I2:I18">
    <cfRule type="colorScale" priority="2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R2:R18">
    <cfRule type="colorScale" priority="3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W2:W18">
    <cfRule type="colorScale" priority="4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AF2:AF18">
    <cfRule type="colorScale" priority="5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AK2:AK18">
    <cfRule type="colorScale" priority="6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AT2:AT18">
    <cfRule type="colorScale" priority="7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conditionalFormatting sqref="AY2:AY18">
    <cfRule type="colorScale" priority="8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workbookViewId="0">
      <pane ySplit="1" topLeftCell="A2" activePane="bottomLeft" state="frozen"/>
      <selection pane="bottomLeft" activeCell="E35" sqref="E35"/>
    </sheetView>
  </sheetViews>
  <sheetFormatPr baseColWidth="10" defaultColWidth="9.140625" defaultRowHeight="15" x14ac:dyDescent="0.25"/>
  <cols>
    <col min="1" max="1" width="16" customWidth="1"/>
    <col min="2" max="2" width="30" customWidth="1"/>
    <col min="3" max="3" width="12" customWidth="1"/>
    <col min="4" max="4" width="34" customWidth="1"/>
    <col min="5" max="5" width="12" customWidth="1"/>
    <col min="6" max="6" width="15" customWidth="1"/>
    <col min="7" max="7" width="13" customWidth="1"/>
    <col min="8" max="8" width="18" customWidth="1"/>
    <col min="9" max="10" width="12" customWidth="1"/>
    <col min="11" max="11" width="16" customWidth="1"/>
    <col min="12" max="12" width="14" customWidth="1"/>
    <col min="13" max="13" width="19" customWidth="1"/>
    <col min="14" max="17" width="12" customWidth="1"/>
  </cols>
  <sheetData>
    <row r="1" spans="1:17" x14ac:dyDescent="0.25">
      <c r="A1" s="1" t="s">
        <v>0</v>
      </c>
      <c r="B1" s="1" t="s">
        <v>49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</row>
    <row r="2" spans="1:17" x14ac:dyDescent="0.25">
      <c r="A2" s="2" t="s">
        <v>28</v>
      </c>
      <c r="B2" s="2" t="s">
        <v>71</v>
      </c>
      <c r="C2" s="2" t="s">
        <v>173</v>
      </c>
      <c r="D2" s="2" t="s">
        <v>72</v>
      </c>
      <c r="E2" s="3">
        <v>0.98729999999999996</v>
      </c>
      <c r="F2" s="2">
        <v>0.9617</v>
      </c>
      <c r="G2" s="3">
        <v>0.96409999999999996</v>
      </c>
      <c r="H2" s="3">
        <v>0.95979999999999999</v>
      </c>
      <c r="I2" s="2">
        <v>0.95830000000000004</v>
      </c>
      <c r="J2" s="3">
        <v>0.99450000000000005</v>
      </c>
      <c r="K2" s="2">
        <v>0.96450000000000002</v>
      </c>
      <c r="L2" s="3">
        <v>0.96909999999999996</v>
      </c>
      <c r="M2" s="3">
        <v>0.97670000000000001</v>
      </c>
      <c r="N2" s="2">
        <v>0.97409999999999997</v>
      </c>
      <c r="O2" s="3">
        <v>81.569999999999993</v>
      </c>
      <c r="P2" s="3">
        <v>12.27</v>
      </c>
      <c r="Q2" s="3"/>
    </row>
    <row r="3" spans="1:17" x14ac:dyDescent="0.25">
      <c r="A3" s="2" t="s">
        <v>28</v>
      </c>
      <c r="B3" s="2" t="s">
        <v>71</v>
      </c>
      <c r="C3" s="2" t="s">
        <v>174</v>
      </c>
      <c r="D3" s="2" t="s">
        <v>34</v>
      </c>
      <c r="E3" s="3">
        <v>0.95750000000000002</v>
      </c>
      <c r="F3" s="2">
        <v>0.75139999999999996</v>
      </c>
      <c r="G3" s="3">
        <v>0.98199999999999998</v>
      </c>
      <c r="H3" s="3">
        <v>0.55779999999999996</v>
      </c>
      <c r="I3" s="2">
        <v>0.78280000000000005</v>
      </c>
      <c r="J3" s="3">
        <v>0.96189999999999998</v>
      </c>
      <c r="K3" s="2">
        <v>0.7732</v>
      </c>
      <c r="L3" s="3">
        <v>0.97940000000000005</v>
      </c>
      <c r="M3" s="3">
        <v>0.54069999999999996</v>
      </c>
      <c r="N3" s="2">
        <v>0.82069999999999999</v>
      </c>
      <c r="O3" s="3">
        <v>22.11</v>
      </c>
      <c r="P3" s="3">
        <v>28.26</v>
      </c>
      <c r="Q3" s="3">
        <v>0.4</v>
      </c>
    </row>
    <row r="4" spans="1:17" x14ac:dyDescent="0.25">
      <c r="A4" s="2" t="s">
        <v>28</v>
      </c>
      <c r="B4" s="2" t="s">
        <v>78</v>
      </c>
      <c r="C4" s="2" t="s">
        <v>173</v>
      </c>
      <c r="D4" s="2" t="s">
        <v>79</v>
      </c>
      <c r="E4" s="3">
        <v>0.97540000000000004</v>
      </c>
      <c r="F4" s="2">
        <v>0.93720000000000003</v>
      </c>
      <c r="G4" s="3">
        <v>0.94010000000000005</v>
      </c>
      <c r="H4" s="3">
        <v>0.94469999999999998</v>
      </c>
      <c r="I4" s="2">
        <v>0.93730000000000002</v>
      </c>
      <c r="J4" s="3">
        <v>0.97860000000000003</v>
      </c>
      <c r="K4" s="2">
        <v>0.93720000000000003</v>
      </c>
      <c r="L4" s="3">
        <v>0.91239999999999999</v>
      </c>
      <c r="M4" s="3">
        <v>0.96509999999999996</v>
      </c>
      <c r="N4" s="2">
        <v>0.93899999999999995</v>
      </c>
      <c r="O4" s="3">
        <v>34.17</v>
      </c>
      <c r="P4" s="3">
        <v>5.15</v>
      </c>
      <c r="Q4" s="3"/>
    </row>
    <row r="5" spans="1:17" x14ac:dyDescent="0.25">
      <c r="A5" s="2" t="s">
        <v>28</v>
      </c>
      <c r="B5" s="2" t="s">
        <v>78</v>
      </c>
      <c r="C5" s="2" t="s">
        <v>174</v>
      </c>
      <c r="D5" s="2" t="s">
        <v>44</v>
      </c>
      <c r="E5" s="3">
        <v>0.53369999999999995</v>
      </c>
      <c r="F5" s="2">
        <v>0.45629999999999998</v>
      </c>
      <c r="G5" s="3">
        <v>1</v>
      </c>
      <c r="H5" s="3">
        <v>0</v>
      </c>
      <c r="I5" s="2">
        <v>0.62660000000000005</v>
      </c>
      <c r="J5" s="3">
        <v>0.46039999999999998</v>
      </c>
      <c r="K5" s="2">
        <v>0.53010000000000002</v>
      </c>
      <c r="L5" s="3">
        <v>1</v>
      </c>
      <c r="M5" s="3">
        <v>0</v>
      </c>
      <c r="N5" s="2">
        <v>0.69289999999999996</v>
      </c>
      <c r="O5" s="3">
        <v>8.9499999999999993</v>
      </c>
      <c r="P5" s="3">
        <v>4.01</v>
      </c>
      <c r="Q5" s="3">
        <v>0.67</v>
      </c>
    </row>
    <row r="6" spans="1:17" x14ac:dyDescent="0.25">
      <c r="A6" s="2" t="s">
        <v>28</v>
      </c>
      <c r="B6" s="2" t="s">
        <v>69</v>
      </c>
      <c r="C6" s="2" t="s">
        <v>173</v>
      </c>
      <c r="D6" s="2" t="s">
        <v>70</v>
      </c>
      <c r="E6" s="3">
        <v>0.99339999999999995</v>
      </c>
      <c r="F6" s="2">
        <v>0.95079999999999998</v>
      </c>
      <c r="G6" s="3">
        <v>0.91620000000000001</v>
      </c>
      <c r="H6" s="3">
        <v>0.9849</v>
      </c>
      <c r="I6" s="2">
        <v>0.94740000000000002</v>
      </c>
      <c r="J6" s="3">
        <v>0.99660000000000004</v>
      </c>
      <c r="K6" s="2">
        <v>0.98629999999999995</v>
      </c>
      <c r="L6" s="3">
        <v>0.97940000000000005</v>
      </c>
      <c r="M6" s="3">
        <v>0.99419999999999997</v>
      </c>
      <c r="N6" s="2">
        <v>0.98699999999999999</v>
      </c>
      <c r="O6" s="3">
        <v>41.64</v>
      </c>
      <c r="P6" s="3">
        <v>3.69</v>
      </c>
      <c r="Q6" s="3"/>
    </row>
    <row r="7" spans="1:17" x14ac:dyDescent="0.25">
      <c r="A7" s="2" t="s">
        <v>28</v>
      </c>
      <c r="B7" s="2" t="s">
        <v>69</v>
      </c>
      <c r="C7" s="2" t="s">
        <v>174</v>
      </c>
      <c r="D7" s="2" t="s">
        <v>31</v>
      </c>
      <c r="E7" s="3">
        <v>0.98729999999999996</v>
      </c>
      <c r="F7" s="2">
        <v>0.9617</v>
      </c>
      <c r="G7" s="3">
        <v>0.92810000000000004</v>
      </c>
      <c r="H7" s="3">
        <v>0.97489999999999999</v>
      </c>
      <c r="I7" s="2">
        <v>0.94799999999999995</v>
      </c>
      <c r="J7" s="3">
        <v>0.99750000000000005</v>
      </c>
      <c r="K7" s="2">
        <v>0.96719999999999995</v>
      </c>
      <c r="L7" s="3">
        <v>0.97419999999999995</v>
      </c>
      <c r="M7" s="3">
        <v>0.99419999999999997</v>
      </c>
      <c r="N7" s="2">
        <v>0.98440000000000005</v>
      </c>
      <c r="O7" s="3">
        <v>10.95</v>
      </c>
      <c r="P7" s="3">
        <v>17.420000000000002</v>
      </c>
      <c r="Q7" s="3">
        <v>0.54</v>
      </c>
    </row>
    <row r="8" spans="1:17" x14ac:dyDescent="0.25">
      <c r="A8" s="2" t="s">
        <v>35</v>
      </c>
      <c r="B8" s="2" t="s">
        <v>71</v>
      </c>
      <c r="C8" s="2" t="s">
        <v>173</v>
      </c>
      <c r="D8" s="2" t="s">
        <v>77</v>
      </c>
      <c r="E8" s="3">
        <v>0.91890000000000005</v>
      </c>
      <c r="F8" s="2">
        <v>0.88190000000000002</v>
      </c>
      <c r="G8" s="3">
        <v>0.89470000000000005</v>
      </c>
      <c r="H8" s="3">
        <v>0.79410000000000003</v>
      </c>
      <c r="I8" s="2">
        <v>0.86080000000000001</v>
      </c>
      <c r="J8" s="3">
        <v>0.90749999999999997</v>
      </c>
      <c r="K8" s="2">
        <v>0.8357</v>
      </c>
      <c r="L8" s="3">
        <v>0.8649</v>
      </c>
      <c r="M8" s="3">
        <v>0.84850000000000003</v>
      </c>
      <c r="N8" s="2">
        <v>0.8649</v>
      </c>
      <c r="O8" s="3">
        <v>81.569999999999993</v>
      </c>
      <c r="P8" s="3">
        <v>11.64</v>
      </c>
      <c r="Q8" s="3"/>
    </row>
    <row r="9" spans="1:17" x14ac:dyDescent="0.25">
      <c r="A9" s="2" t="s">
        <v>35</v>
      </c>
      <c r="B9" s="2" t="s">
        <v>71</v>
      </c>
      <c r="C9" s="2" t="s">
        <v>174</v>
      </c>
      <c r="D9" s="2" t="s">
        <v>41</v>
      </c>
      <c r="E9" s="3">
        <v>0.83750000000000002</v>
      </c>
      <c r="F9" s="2">
        <v>0.79169999999999996</v>
      </c>
      <c r="G9" s="3">
        <v>0.57889999999999997</v>
      </c>
      <c r="H9" s="3">
        <v>0.83819999999999995</v>
      </c>
      <c r="I9" s="2">
        <v>0.67179999999999995</v>
      </c>
      <c r="J9" s="3">
        <v>0.86609999999999998</v>
      </c>
      <c r="K9" s="2">
        <v>0.80710000000000004</v>
      </c>
      <c r="L9" s="3">
        <v>0.58109999999999995</v>
      </c>
      <c r="M9" s="3">
        <v>0.89390000000000003</v>
      </c>
      <c r="N9" s="2">
        <v>0.69350000000000001</v>
      </c>
      <c r="O9" s="3">
        <v>22.11</v>
      </c>
      <c r="P9" s="3">
        <v>28.47</v>
      </c>
      <c r="Q9" s="3">
        <v>0.41</v>
      </c>
    </row>
    <row r="10" spans="1:17" x14ac:dyDescent="0.25">
      <c r="A10" s="2" t="s">
        <v>35</v>
      </c>
      <c r="B10" s="2" t="s">
        <v>78</v>
      </c>
      <c r="C10" s="2" t="s">
        <v>173</v>
      </c>
      <c r="D10" s="2" t="s">
        <v>81</v>
      </c>
      <c r="E10" s="3">
        <v>0.85799999999999998</v>
      </c>
      <c r="F10" s="2">
        <v>0.74309999999999998</v>
      </c>
      <c r="G10" s="3">
        <v>0.93420000000000003</v>
      </c>
      <c r="H10" s="3">
        <v>0.63239999999999996</v>
      </c>
      <c r="I10" s="2">
        <v>0.8256</v>
      </c>
      <c r="J10" s="3">
        <v>0.88490000000000002</v>
      </c>
      <c r="K10" s="2">
        <v>0.73570000000000002</v>
      </c>
      <c r="L10" s="3">
        <v>0.89190000000000003</v>
      </c>
      <c r="M10" s="3">
        <v>0.80300000000000005</v>
      </c>
      <c r="N10" s="2">
        <v>0.86270000000000002</v>
      </c>
      <c r="O10" s="3">
        <v>34.17</v>
      </c>
      <c r="P10" s="3">
        <v>5.35</v>
      </c>
      <c r="Q10" s="3"/>
    </row>
    <row r="11" spans="1:17" x14ac:dyDescent="0.25">
      <c r="A11" s="2" t="s">
        <v>35</v>
      </c>
      <c r="B11" s="2" t="s">
        <v>78</v>
      </c>
      <c r="C11" s="2" t="s">
        <v>174</v>
      </c>
      <c r="D11" s="2" t="s">
        <v>46</v>
      </c>
      <c r="E11" s="3">
        <v>0.1784</v>
      </c>
      <c r="F11" s="2">
        <v>0.52780000000000005</v>
      </c>
      <c r="G11" s="3">
        <v>1</v>
      </c>
      <c r="H11" s="3">
        <v>0</v>
      </c>
      <c r="I11" s="2">
        <v>0.69089999999999996</v>
      </c>
      <c r="J11" s="3">
        <v>0.1603</v>
      </c>
      <c r="K11" s="2">
        <v>0.52859999999999996</v>
      </c>
      <c r="L11" s="3">
        <v>1</v>
      </c>
      <c r="M11" s="3">
        <v>0</v>
      </c>
      <c r="N11" s="2">
        <v>0.69159999999999999</v>
      </c>
      <c r="O11" s="3">
        <v>8.9499999999999993</v>
      </c>
      <c r="P11" s="3">
        <v>53.02</v>
      </c>
      <c r="Q11" s="3">
        <v>0.99</v>
      </c>
    </row>
    <row r="12" spans="1:17" x14ac:dyDescent="0.25">
      <c r="A12" s="2" t="s">
        <v>35</v>
      </c>
      <c r="B12" s="2" t="s">
        <v>69</v>
      </c>
      <c r="C12" s="2" t="s">
        <v>173</v>
      </c>
      <c r="D12" s="2" t="s">
        <v>73</v>
      </c>
      <c r="E12" s="3">
        <v>0.94269999999999998</v>
      </c>
      <c r="F12" s="2">
        <v>0.90969999999999995</v>
      </c>
      <c r="G12" s="3">
        <v>0.91180000000000005</v>
      </c>
      <c r="H12" s="3">
        <v>0.89470000000000005</v>
      </c>
      <c r="I12" s="2">
        <v>0.89859999999999995</v>
      </c>
      <c r="J12" s="3">
        <v>0.96289999999999998</v>
      </c>
      <c r="K12" s="2">
        <v>0.9214</v>
      </c>
      <c r="L12" s="3">
        <v>0.96970000000000001</v>
      </c>
      <c r="M12" s="3">
        <v>0.89190000000000003</v>
      </c>
      <c r="N12" s="2">
        <v>0.92749999999999999</v>
      </c>
      <c r="O12" s="3">
        <v>41.64</v>
      </c>
      <c r="P12" s="3">
        <v>3.51</v>
      </c>
      <c r="Q12" s="3"/>
    </row>
    <row r="13" spans="1:17" x14ac:dyDescent="0.25">
      <c r="A13" s="2" t="s">
        <v>35</v>
      </c>
      <c r="B13" s="2" t="s">
        <v>69</v>
      </c>
      <c r="C13" s="2" t="s">
        <v>174</v>
      </c>
      <c r="D13" s="2" t="s">
        <v>36</v>
      </c>
      <c r="E13" s="3">
        <v>0.93230000000000002</v>
      </c>
      <c r="F13" s="2">
        <v>0.86109999999999998</v>
      </c>
      <c r="G13" s="3">
        <v>0.79410000000000003</v>
      </c>
      <c r="H13" s="3">
        <v>0.92110000000000003</v>
      </c>
      <c r="I13" s="2">
        <v>0.84379999999999999</v>
      </c>
      <c r="J13" s="3">
        <v>0.93920000000000003</v>
      </c>
      <c r="K13" s="2">
        <v>0.88570000000000004</v>
      </c>
      <c r="L13" s="3">
        <v>0.89390000000000003</v>
      </c>
      <c r="M13" s="3">
        <v>0.91890000000000005</v>
      </c>
      <c r="N13" s="2">
        <v>0.90080000000000005</v>
      </c>
      <c r="O13" s="3">
        <v>10.95</v>
      </c>
      <c r="P13" s="3">
        <v>17.47</v>
      </c>
      <c r="Q13" s="3">
        <v>0.24</v>
      </c>
    </row>
    <row r="14" spans="1:17" x14ac:dyDescent="0.25">
      <c r="A14" s="2" t="s">
        <v>37</v>
      </c>
      <c r="B14" s="2" t="s">
        <v>71</v>
      </c>
      <c r="C14" s="2" t="s">
        <v>173</v>
      </c>
      <c r="D14" s="2" t="s">
        <v>76</v>
      </c>
      <c r="E14" s="3">
        <v>0.89249999999999996</v>
      </c>
      <c r="F14" s="2">
        <v>0.90359999999999996</v>
      </c>
      <c r="G14" s="3">
        <v>0.77380000000000004</v>
      </c>
      <c r="H14" s="3">
        <v>0.82630000000000003</v>
      </c>
      <c r="I14" s="2">
        <v>0.49059999999999998</v>
      </c>
      <c r="J14" s="3">
        <v>0.8952</v>
      </c>
      <c r="K14" s="2">
        <v>0.90210000000000001</v>
      </c>
      <c r="L14" s="3">
        <v>0.84340000000000004</v>
      </c>
      <c r="M14" s="3">
        <v>0.79249999999999998</v>
      </c>
      <c r="N14" s="2">
        <v>0.4803</v>
      </c>
      <c r="O14" s="3">
        <v>81.569999999999993</v>
      </c>
      <c r="P14" s="3">
        <v>13.22</v>
      </c>
      <c r="Q14" s="3"/>
    </row>
    <row r="15" spans="1:17" x14ac:dyDescent="0.25">
      <c r="A15" s="2" t="s">
        <v>37</v>
      </c>
      <c r="B15" s="2" t="s">
        <v>71</v>
      </c>
      <c r="C15" s="2" t="s">
        <v>174</v>
      </c>
      <c r="D15" s="2" t="s">
        <v>40</v>
      </c>
      <c r="E15" s="3">
        <v>0.84250000000000003</v>
      </c>
      <c r="F15" s="2">
        <v>0.52929999999999999</v>
      </c>
      <c r="G15" s="3">
        <v>0.98209999999999997</v>
      </c>
      <c r="H15" s="3">
        <v>0.41620000000000001</v>
      </c>
      <c r="I15" s="2">
        <v>0.29649999999999999</v>
      </c>
      <c r="J15" s="3">
        <v>0.84619999999999995</v>
      </c>
      <c r="K15" s="2">
        <v>0.51370000000000005</v>
      </c>
      <c r="L15" s="3">
        <v>1</v>
      </c>
      <c r="M15" s="3">
        <v>0.4037</v>
      </c>
      <c r="N15" s="2">
        <v>0.29430000000000001</v>
      </c>
      <c r="O15" s="3">
        <v>22.11</v>
      </c>
      <c r="P15" s="3">
        <v>28.69</v>
      </c>
      <c r="Q15" s="3">
        <v>0.4</v>
      </c>
    </row>
    <row r="16" spans="1:17" x14ac:dyDescent="0.25">
      <c r="A16" s="2" t="s">
        <v>37</v>
      </c>
      <c r="B16" s="2" t="s">
        <v>175</v>
      </c>
      <c r="C16" s="2" t="s">
        <v>173</v>
      </c>
      <c r="D16" s="2" t="s">
        <v>141</v>
      </c>
      <c r="E16" s="3">
        <v>0.85909999999999997</v>
      </c>
      <c r="F16" s="2">
        <v>0.88429999999999997</v>
      </c>
      <c r="G16" s="3">
        <v>0.82740000000000002</v>
      </c>
      <c r="H16" s="3">
        <v>0.7298</v>
      </c>
      <c r="I16" s="2">
        <v>0.41620000000000001</v>
      </c>
      <c r="J16" s="3">
        <v>0.8498</v>
      </c>
      <c r="K16" s="2">
        <v>0.88539999999999996</v>
      </c>
      <c r="L16" s="3">
        <v>0.82530000000000003</v>
      </c>
      <c r="M16" s="3">
        <v>0.72729999999999995</v>
      </c>
      <c r="N16" s="2">
        <v>0.4108</v>
      </c>
      <c r="O16" s="3">
        <v>126.04</v>
      </c>
      <c r="P16" s="3">
        <v>6.73</v>
      </c>
      <c r="Q16" s="3"/>
    </row>
    <row r="17" spans="1:17" x14ac:dyDescent="0.25">
      <c r="A17" s="2" t="s">
        <v>37</v>
      </c>
      <c r="B17" s="2" t="s">
        <v>78</v>
      </c>
      <c r="C17" s="2" t="s">
        <v>173</v>
      </c>
      <c r="D17" s="2" t="s">
        <v>80</v>
      </c>
      <c r="E17" s="3">
        <v>0.88959999999999995</v>
      </c>
      <c r="F17" s="2">
        <v>0.89690000000000003</v>
      </c>
      <c r="G17" s="3">
        <v>0.91069999999999995</v>
      </c>
      <c r="H17" s="3">
        <v>0.71179999999999999</v>
      </c>
      <c r="I17" s="2">
        <v>0.43340000000000001</v>
      </c>
      <c r="J17" s="3">
        <v>0.88600000000000001</v>
      </c>
      <c r="K17" s="2">
        <v>0.89410000000000001</v>
      </c>
      <c r="L17" s="3">
        <v>0.93979999999999997</v>
      </c>
      <c r="M17" s="3">
        <v>0.69289999999999996</v>
      </c>
      <c r="N17" s="2">
        <v>0.42620000000000002</v>
      </c>
      <c r="O17" s="3">
        <v>34.17</v>
      </c>
      <c r="P17" s="3">
        <v>7.69</v>
      </c>
      <c r="Q17" s="3"/>
    </row>
    <row r="18" spans="1:17" x14ac:dyDescent="0.25">
      <c r="A18" s="2" t="s">
        <v>37</v>
      </c>
      <c r="B18" s="2" t="s">
        <v>78</v>
      </c>
      <c r="C18" s="2" t="s">
        <v>174</v>
      </c>
      <c r="D18" s="2" t="s">
        <v>45</v>
      </c>
      <c r="E18" s="3">
        <v>0.47470000000000001</v>
      </c>
      <c r="F18" s="2">
        <v>0.88829999999999998</v>
      </c>
      <c r="G18" s="3">
        <v>0</v>
      </c>
      <c r="H18" s="3">
        <v>1</v>
      </c>
      <c r="I18" s="2">
        <v>0</v>
      </c>
      <c r="J18" s="3">
        <v>0.45500000000000002</v>
      </c>
      <c r="K18" s="2">
        <v>0.88939999999999997</v>
      </c>
      <c r="L18" s="3">
        <v>0</v>
      </c>
      <c r="M18" s="3">
        <v>1</v>
      </c>
      <c r="N18" s="2">
        <v>0</v>
      </c>
      <c r="O18" s="3">
        <v>8.9499999999999993</v>
      </c>
      <c r="P18" s="3">
        <v>53.32</v>
      </c>
      <c r="Q18" s="3">
        <v>0.99</v>
      </c>
    </row>
    <row r="19" spans="1:17" x14ac:dyDescent="0.25">
      <c r="A19" s="2" t="s">
        <v>37</v>
      </c>
      <c r="B19" s="2" t="s">
        <v>82</v>
      </c>
      <c r="C19" s="2" t="s">
        <v>173</v>
      </c>
      <c r="D19" s="2" t="s">
        <v>83</v>
      </c>
      <c r="E19" s="3">
        <v>0.86570000000000003</v>
      </c>
      <c r="F19" s="2">
        <v>0.89359999999999995</v>
      </c>
      <c r="G19" s="3">
        <v>0.88690000000000002</v>
      </c>
      <c r="H19" s="3">
        <v>0.69159999999999999</v>
      </c>
      <c r="I19" s="2">
        <v>0.4088</v>
      </c>
      <c r="J19" s="3">
        <v>0.86719999999999997</v>
      </c>
      <c r="K19" s="2">
        <v>0.89410000000000001</v>
      </c>
      <c r="L19" s="3">
        <v>0.95179999999999998</v>
      </c>
      <c r="M19" s="3">
        <v>0.66520000000000001</v>
      </c>
      <c r="N19" s="2">
        <v>0.40989999999999999</v>
      </c>
      <c r="O19" s="3">
        <v>10.17</v>
      </c>
      <c r="P19" s="3">
        <v>3.41</v>
      </c>
      <c r="Q19" s="3"/>
    </row>
    <row r="20" spans="1:17" x14ac:dyDescent="0.25">
      <c r="A20" s="2" t="s">
        <v>37</v>
      </c>
      <c r="B20" s="2" t="s">
        <v>82</v>
      </c>
      <c r="C20" s="2" t="s">
        <v>174</v>
      </c>
      <c r="D20" s="2" t="s">
        <v>48</v>
      </c>
      <c r="E20" s="3">
        <v>0</v>
      </c>
      <c r="F20" s="2">
        <v>0.88829999999999998</v>
      </c>
      <c r="G20" s="3">
        <v>0</v>
      </c>
      <c r="H20" s="3">
        <v>1</v>
      </c>
      <c r="I20" s="2">
        <v>0</v>
      </c>
      <c r="J20" s="3">
        <v>0</v>
      </c>
      <c r="K20" s="2">
        <v>0.88939999999999997</v>
      </c>
      <c r="L20" s="3">
        <v>0</v>
      </c>
      <c r="M20" s="3">
        <v>1</v>
      </c>
      <c r="N20" s="2">
        <v>0</v>
      </c>
      <c r="O20" s="3">
        <v>2.78</v>
      </c>
      <c r="P20" s="3">
        <v>1.65</v>
      </c>
      <c r="Q20" s="3">
        <v>0.39</v>
      </c>
    </row>
    <row r="21" spans="1:17" x14ac:dyDescent="0.25">
      <c r="A21" s="2" t="s">
        <v>37</v>
      </c>
      <c r="B21" s="2" t="s">
        <v>176</v>
      </c>
      <c r="C21" s="2" t="s">
        <v>173</v>
      </c>
      <c r="D21" s="2" t="s">
        <v>147</v>
      </c>
      <c r="E21" s="3">
        <v>0.87160000000000004</v>
      </c>
      <c r="F21" s="2">
        <v>0.89629999999999999</v>
      </c>
      <c r="G21" s="3">
        <v>0.85119999999999996</v>
      </c>
      <c r="H21" s="3">
        <v>0.71330000000000005</v>
      </c>
      <c r="I21" s="2">
        <v>0.41210000000000002</v>
      </c>
      <c r="J21" s="3">
        <v>0.86890000000000001</v>
      </c>
      <c r="K21" s="2">
        <v>0.90139999999999998</v>
      </c>
      <c r="L21" s="3">
        <v>0.88549999999999995</v>
      </c>
      <c r="M21" s="3">
        <v>0.70640000000000003</v>
      </c>
      <c r="N21" s="2">
        <v>0.41699999999999998</v>
      </c>
      <c r="O21" s="3">
        <v>51.68</v>
      </c>
      <c r="P21" s="3">
        <v>12.86</v>
      </c>
      <c r="Q21" s="3"/>
    </row>
    <row r="22" spans="1:17" x14ac:dyDescent="0.25">
      <c r="A22" s="2" t="s">
        <v>37</v>
      </c>
      <c r="B22" s="2" t="s">
        <v>69</v>
      </c>
      <c r="C22" s="2" t="s">
        <v>173</v>
      </c>
      <c r="D22" s="2" t="s">
        <v>148</v>
      </c>
      <c r="E22" s="3">
        <v>0.87860000000000005</v>
      </c>
      <c r="F22" s="2">
        <v>0.89759999999999995</v>
      </c>
      <c r="G22" s="3">
        <v>0.9405</v>
      </c>
      <c r="H22" s="3">
        <v>0.68259999999999998</v>
      </c>
      <c r="I22" s="2">
        <v>0.42130000000000001</v>
      </c>
      <c r="J22" s="3">
        <v>0.86850000000000005</v>
      </c>
      <c r="K22" s="2">
        <v>0.89739999999999998</v>
      </c>
      <c r="L22" s="3">
        <v>0.93369999999999997</v>
      </c>
      <c r="M22" s="3">
        <v>0.67269999999999996</v>
      </c>
      <c r="N22" s="2">
        <v>0.40899999999999997</v>
      </c>
      <c r="O22" s="3">
        <v>41.64</v>
      </c>
      <c r="P22" s="3">
        <v>3.82</v>
      </c>
      <c r="Q22" s="3"/>
    </row>
    <row r="23" spans="1:17" x14ac:dyDescent="0.25">
      <c r="A23" s="2" t="s">
        <v>37</v>
      </c>
      <c r="B23" s="2" t="s">
        <v>74</v>
      </c>
      <c r="C23" s="2" t="s">
        <v>173</v>
      </c>
      <c r="D23" s="2" t="s">
        <v>75</v>
      </c>
      <c r="E23" s="3">
        <v>0.88370000000000004</v>
      </c>
      <c r="F23" s="2">
        <v>0.89759999999999995</v>
      </c>
      <c r="G23" s="3">
        <v>0.84519999999999995</v>
      </c>
      <c r="H23" s="3">
        <v>0.75070000000000003</v>
      </c>
      <c r="I23" s="2">
        <v>0.44169999999999998</v>
      </c>
      <c r="J23" s="3">
        <v>0.87109999999999999</v>
      </c>
      <c r="K23" s="2">
        <v>0.90010000000000001</v>
      </c>
      <c r="L23" s="3">
        <v>0.84340000000000004</v>
      </c>
      <c r="M23" s="3">
        <v>0.74160000000000004</v>
      </c>
      <c r="N23" s="2">
        <v>0.43009999999999998</v>
      </c>
      <c r="O23" s="3">
        <v>6.28</v>
      </c>
      <c r="P23" s="3">
        <v>3.09</v>
      </c>
      <c r="Q23" s="3"/>
    </row>
    <row r="24" spans="1:17" x14ac:dyDescent="0.25">
      <c r="A24" s="2" t="s">
        <v>37</v>
      </c>
      <c r="B24" s="2" t="s">
        <v>74</v>
      </c>
      <c r="C24" s="2" t="s">
        <v>174</v>
      </c>
      <c r="D24" s="2" t="s">
        <v>39</v>
      </c>
      <c r="E24" s="3">
        <v>0.89739999999999998</v>
      </c>
      <c r="F24" s="2">
        <v>0.90029999999999999</v>
      </c>
      <c r="G24" s="3">
        <v>0.86899999999999999</v>
      </c>
      <c r="H24" s="3">
        <v>0.74929999999999997</v>
      </c>
      <c r="I24" s="2">
        <v>0.44990000000000002</v>
      </c>
      <c r="J24" s="3">
        <v>0.88619999999999999</v>
      </c>
      <c r="K24" s="2">
        <v>0.90339999999999998</v>
      </c>
      <c r="L24" s="3">
        <v>0.85540000000000005</v>
      </c>
      <c r="M24" s="3">
        <v>0.7258</v>
      </c>
      <c r="N24" s="2">
        <v>0.4214</v>
      </c>
      <c r="O24" s="3">
        <v>1.98</v>
      </c>
      <c r="P24" s="3">
        <v>3.56</v>
      </c>
      <c r="Q24" s="3">
        <v>0.94</v>
      </c>
    </row>
    <row r="25" spans="1:17" x14ac:dyDescent="0.25">
      <c r="A25" s="2" t="s">
        <v>37</v>
      </c>
      <c r="B25" s="2" t="s">
        <v>177</v>
      </c>
      <c r="C25" s="2" t="s">
        <v>173</v>
      </c>
      <c r="D25" s="2" t="s">
        <v>152</v>
      </c>
      <c r="E25" s="3">
        <v>0.88980000000000004</v>
      </c>
      <c r="F25" s="2">
        <v>0.90029999999999999</v>
      </c>
      <c r="G25" s="3">
        <v>0.88100000000000001</v>
      </c>
      <c r="H25" s="3">
        <v>0.72230000000000005</v>
      </c>
      <c r="I25" s="2">
        <v>0.43090000000000001</v>
      </c>
      <c r="J25" s="3">
        <v>0.87719999999999998</v>
      </c>
      <c r="K25" s="2">
        <v>0.90139999999999998</v>
      </c>
      <c r="L25" s="3">
        <v>0.89759999999999995</v>
      </c>
      <c r="M25" s="3">
        <v>0.70640000000000003</v>
      </c>
      <c r="N25" s="2">
        <v>0.42149999999999999</v>
      </c>
      <c r="O25" s="3">
        <v>21.95</v>
      </c>
      <c r="P25" s="3">
        <v>2.99</v>
      </c>
      <c r="Q25" s="3"/>
    </row>
    <row r="26" spans="1:17" x14ac:dyDescent="0.25">
      <c r="A26" s="2" t="s">
        <v>37</v>
      </c>
      <c r="B26" s="2" t="s">
        <v>178</v>
      </c>
      <c r="C26" s="2" t="s">
        <v>173</v>
      </c>
      <c r="D26" s="2" t="s">
        <v>154</v>
      </c>
      <c r="E26" s="3">
        <v>0.89659999999999995</v>
      </c>
      <c r="F26" s="2">
        <v>0.90029999999999999</v>
      </c>
      <c r="G26" s="3">
        <v>0.85119999999999996</v>
      </c>
      <c r="H26" s="3">
        <v>0.78290000000000004</v>
      </c>
      <c r="I26" s="2">
        <v>0.47589999999999999</v>
      </c>
      <c r="J26" s="3">
        <v>0.87629999999999997</v>
      </c>
      <c r="K26" s="2">
        <v>0.89870000000000005</v>
      </c>
      <c r="L26" s="3">
        <v>0.84340000000000004</v>
      </c>
      <c r="M26" s="3">
        <v>0.76249999999999996</v>
      </c>
      <c r="N26" s="2">
        <v>0.44940000000000002</v>
      </c>
      <c r="O26" s="3">
        <v>113.82</v>
      </c>
      <c r="P26" s="3">
        <v>5.51</v>
      </c>
      <c r="Q26" s="3"/>
    </row>
    <row r="27" spans="1:17" x14ac:dyDescent="0.25">
      <c r="A27" s="2" t="s">
        <v>155</v>
      </c>
      <c r="B27" s="2" t="s">
        <v>71</v>
      </c>
      <c r="C27" s="2" t="s">
        <v>173</v>
      </c>
      <c r="D27" s="2" t="s">
        <v>156</v>
      </c>
      <c r="E27" s="3">
        <v>0.62350000000000005</v>
      </c>
      <c r="F27" s="2">
        <v>0.79900000000000004</v>
      </c>
      <c r="G27" s="3">
        <v>0.5877</v>
      </c>
      <c r="H27" s="3">
        <v>0.57879999999999998</v>
      </c>
      <c r="I27" s="2">
        <v>0.35639999999999999</v>
      </c>
      <c r="J27" s="3">
        <v>0.63529999999999998</v>
      </c>
      <c r="K27" s="2">
        <v>0.80659999999999998</v>
      </c>
      <c r="L27" s="3">
        <v>0.59819999999999995</v>
      </c>
      <c r="M27" s="3">
        <v>0.63849999999999996</v>
      </c>
      <c r="N27" s="2">
        <v>0.38729999999999998</v>
      </c>
      <c r="O27" s="3">
        <v>81.569999999999993</v>
      </c>
      <c r="P27" s="3">
        <v>11.68</v>
      </c>
      <c r="Q27" s="3"/>
    </row>
    <row r="28" spans="1:17" x14ac:dyDescent="0.25">
      <c r="A28" s="2" t="s">
        <v>155</v>
      </c>
      <c r="B28" s="2" t="s">
        <v>82</v>
      </c>
      <c r="C28" s="2" t="s">
        <v>173</v>
      </c>
      <c r="D28" s="2" t="s">
        <v>157</v>
      </c>
      <c r="E28" s="3">
        <v>0.6552</v>
      </c>
      <c r="F28" s="2">
        <v>0.8024</v>
      </c>
      <c r="G28" s="3">
        <v>0.63160000000000005</v>
      </c>
      <c r="H28" s="3">
        <v>0.59179999999999999</v>
      </c>
      <c r="I28" s="2">
        <v>0.38400000000000001</v>
      </c>
      <c r="J28" s="3">
        <v>0.61580000000000001</v>
      </c>
      <c r="K28" s="2">
        <v>0.80310000000000004</v>
      </c>
      <c r="L28" s="3">
        <v>0.54459999999999997</v>
      </c>
      <c r="M28" s="3">
        <v>0.66669999999999996</v>
      </c>
      <c r="N28" s="2">
        <v>0.37309999999999999</v>
      </c>
      <c r="O28" s="3">
        <v>10.17</v>
      </c>
      <c r="P28" s="3">
        <v>3.08</v>
      </c>
      <c r="Q28" s="3"/>
    </row>
  </sheetData>
  <conditionalFormatting sqref="E2:E28">
    <cfRule type="colorScale" priority="1">
      <colorScale>
        <cfvo type="num" val="0.5"/>
        <cfvo type="num" val="0.8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5" customWidth="1"/>
    <col min="3" max="3" width="29" customWidth="1"/>
    <col min="4" max="4" width="12" customWidth="1"/>
    <col min="5" max="6" width="16" customWidth="1"/>
    <col min="7" max="7" width="18" customWidth="1"/>
    <col min="8" max="14" width="12" customWidth="1"/>
    <col min="15" max="15" width="14" customWidth="1"/>
    <col min="16" max="16" width="15" customWidth="1"/>
    <col min="17" max="17" width="12" customWidth="1"/>
    <col min="18" max="18" width="16" customWidth="1"/>
    <col min="19" max="19" width="12" customWidth="1"/>
    <col min="20" max="20" width="21" customWidth="1"/>
    <col min="21" max="21" width="15" customWidth="1"/>
  </cols>
  <sheetData>
    <row r="1" spans="1:21" x14ac:dyDescent="0.25">
      <c r="A1" s="1" t="s">
        <v>159</v>
      </c>
      <c r="B1" s="1" t="s">
        <v>179</v>
      </c>
      <c r="C1" s="1" t="s">
        <v>180</v>
      </c>
      <c r="D1" s="1" t="s">
        <v>181</v>
      </c>
      <c r="E1" s="1" t="s">
        <v>0</v>
      </c>
      <c r="F1" s="1" t="s">
        <v>1</v>
      </c>
      <c r="G1" s="1" t="s">
        <v>2</v>
      </c>
      <c r="H1" s="1" t="s">
        <v>158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</row>
    <row r="2" spans="1:21" x14ac:dyDescent="0.25">
      <c r="A2" s="2" t="s">
        <v>72</v>
      </c>
      <c r="B2" s="2" t="s">
        <v>195</v>
      </c>
      <c r="C2" s="2" t="s">
        <v>196</v>
      </c>
      <c r="D2" s="2" t="s">
        <v>197</v>
      </c>
      <c r="E2" s="2" t="s">
        <v>28</v>
      </c>
      <c r="F2" s="2" t="s">
        <v>32</v>
      </c>
      <c r="G2" s="2" t="s">
        <v>33</v>
      </c>
      <c r="H2" s="2" t="s">
        <v>198</v>
      </c>
      <c r="I2" s="3">
        <v>0.98729999999999996</v>
      </c>
      <c r="J2" s="2" t="s">
        <v>199</v>
      </c>
      <c r="K2" s="2" t="s">
        <v>200</v>
      </c>
      <c r="L2" s="2" t="s">
        <v>201</v>
      </c>
      <c r="M2" s="2"/>
      <c r="N2" s="2" t="s">
        <v>202</v>
      </c>
      <c r="O2" s="2" t="s">
        <v>203</v>
      </c>
      <c r="P2" s="2"/>
      <c r="Q2" s="2"/>
      <c r="R2" s="2"/>
      <c r="S2" s="2"/>
      <c r="T2" s="2"/>
      <c r="U2" s="2"/>
    </row>
    <row r="3" spans="1:21" x14ac:dyDescent="0.25">
      <c r="A3" s="2" t="s">
        <v>126</v>
      </c>
      <c r="B3" s="2" t="s">
        <v>195</v>
      </c>
      <c r="C3" s="2" t="s">
        <v>196</v>
      </c>
      <c r="D3" s="2" t="s">
        <v>197</v>
      </c>
      <c r="E3" s="2" t="s">
        <v>28</v>
      </c>
      <c r="F3" s="2" t="s">
        <v>32</v>
      </c>
      <c r="G3" s="2" t="s">
        <v>33</v>
      </c>
      <c r="H3" s="2" t="s">
        <v>204</v>
      </c>
      <c r="I3" s="3">
        <v>0.72619999999999996</v>
      </c>
      <c r="J3" s="2"/>
      <c r="K3" s="2" t="s">
        <v>200</v>
      </c>
      <c r="L3" s="2"/>
      <c r="M3" s="2"/>
      <c r="N3" s="2"/>
      <c r="O3" s="2"/>
      <c r="P3" s="2" t="s">
        <v>205</v>
      </c>
      <c r="Q3" s="2"/>
      <c r="R3" s="2"/>
      <c r="S3" s="2"/>
      <c r="T3" s="2"/>
      <c r="U3" s="2"/>
    </row>
    <row r="4" spans="1:21" x14ac:dyDescent="0.25">
      <c r="A4" s="2" t="s">
        <v>127</v>
      </c>
      <c r="B4" s="2" t="s">
        <v>195</v>
      </c>
      <c r="C4" s="2" t="s">
        <v>196</v>
      </c>
      <c r="D4" s="2" t="s">
        <v>197</v>
      </c>
      <c r="E4" s="2" t="s">
        <v>28</v>
      </c>
      <c r="F4" s="2" t="s">
        <v>32</v>
      </c>
      <c r="G4" s="2" t="s">
        <v>33</v>
      </c>
      <c r="H4" s="2" t="s">
        <v>206</v>
      </c>
      <c r="I4" s="3">
        <v>0.98509999999999998</v>
      </c>
      <c r="J4" s="2"/>
      <c r="K4" s="2"/>
      <c r="L4" s="2"/>
      <c r="M4" s="2"/>
      <c r="N4" s="2"/>
      <c r="O4" s="2"/>
      <c r="P4" s="2"/>
      <c r="Q4" s="2" t="s">
        <v>207</v>
      </c>
      <c r="R4" s="2" t="s">
        <v>208</v>
      </c>
      <c r="S4" s="2" t="s">
        <v>209</v>
      </c>
      <c r="T4" s="2"/>
      <c r="U4" s="2"/>
    </row>
    <row r="5" spans="1:21" x14ac:dyDescent="0.25">
      <c r="A5" s="2" t="s">
        <v>34</v>
      </c>
      <c r="B5" s="2" t="s">
        <v>195</v>
      </c>
      <c r="C5" s="2" t="s">
        <v>196</v>
      </c>
      <c r="D5" s="2" t="s">
        <v>197</v>
      </c>
      <c r="E5" s="2" t="s">
        <v>28</v>
      </c>
      <c r="F5" s="2" t="s">
        <v>32</v>
      </c>
      <c r="G5" s="2" t="s">
        <v>33</v>
      </c>
      <c r="H5" s="2" t="s">
        <v>210</v>
      </c>
      <c r="I5" s="3">
        <v>0.95750000000000002</v>
      </c>
      <c r="J5" s="2"/>
      <c r="K5" s="2" t="s">
        <v>200</v>
      </c>
      <c r="L5" s="2"/>
      <c r="M5" s="2"/>
      <c r="N5" s="2"/>
      <c r="O5" s="2"/>
      <c r="P5" s="2"/>
      <c r="Q5" s="2"/>
      <c r="R5" s="2"/>
      <c r="S5" s="2"/>
      <c r="T5" s="2" t="s">
        <v>211</v>
      </c>
      <c r="U5" s="2" t="s">
        <v>212</v>
      </c>
    </row>
    <row r="6" spans="1:21" x14ac:dyDescent="0.25">
      <c r="A6" s="2" t="s">
        <v>79</v>
      </c>
      <c r="B6" s="2" t="s">
        <v>213</v>
      </c>
      <c r="C6" s="2" t="s">
        <v>214</v>
      </c>
      <c r="D6" s="2" t="s">
        <v>197</v>
      </c>
      <c r="E6" s="2" t="s">
        <v>28</v>
      </c>
      <c r="F6" s="2" t="s">
        <v>42</v>
      </c>
      <c r="G6" s="2" t="s">
        <v>43</v>
      </c>
      <c r="H6" s="2" t="s">
        <v>198</v>
      </c>
      <c r="I6" s="3">
        <v>0.97540000000000004</v>
      </c>
      <c r="J6" s="2" t="s">
        <v>199</v>
      </c>
      <c r="K6" s="2" t="s">
        <v>200</v>
      </c>
      <c r="L6" s="2" t="s">
        <v>201</v>
      </c>
      <c r="M6" s="2"/>
      <c r="N6" s="2" t="s">
        <v>202</v>
      </c>
      <c r="O6" s="2" t="s">
        <v>203</v>
      </c>
      <c r="P6" s="2"/>
      <c r="Q6" s="2"/>
      <c r="R6" s="2"/>
      <c r="S6" s="2"/>
      <c r="T6" s="2"/>
      <c r="U6" s="2"/>
    </row>
    <row r="7" spans="1:21" x14ac:dyDescent="0.25">
      <c r="A7" s="2" t="s">
        <v>128</v>
      </c>
      <c r="B7" s="2" t="s">
        <v>213</v>
      </c>
      <c r="C7" s="2" t="s">
        <v>214</v>
      </c>
      <c r="D7" s="2" t="s">
        <v>197</v>
      </c>
      <c r="E7" s="2" t="s">
        <v>28</v>
      </c>
      <c r="F7" s="2" t="s">
        <v>42</v>
      </c>
      <c r="G7" s="2" t="s">
        <v>43</v>
      </c>
      <c r="H7" s="2" t="s">
        <v>204</v>
      </c>
      <c r="I7" s="3">
        <v>0.74990000000000001</v>
      </c>
      <c r="J7" s="2"/>
      <c r="K7" s="2" t="s">
        <v>200</v>
      </c>
      <c r="L7" s="2"/>
      <c r="M7" s="2"/>
      <c r="N7" s="2"/>
      <c r="O7" s="2"/>
      <c r="P7" s="2" t="s">
        <v>205</v>
      </c>
      <c r="Q7" s="2"/>
      <c r="R7" s="2"/>
      <c r="S7" s="2"/>
      <c r="T7" s="2"/>
      <c r="U7" s="2"/>
    </row>
    <row r="8" spans="1:21" x14ac:dyDescent="0.25">
      <c r="A8" s="2" t="s">
        <v>129</v>
      </c>
      <c r="B8" s="2" t="s">
        <v>213</v>
      </c>
      <c r="C8" s="2" t="s">
        <v>214</v>
      </c>
      <c r="D8" s="2" t="s">
        <v>197</v>
      </c>
      <c r="E8" s="2" t="s">
        <v>28</v>
      </c>
      <c r="F8" s="2" t="s">
        <v>42</v>
      </c>
      <c r="G8" s="2" t="s">
        <v>43</v>
      </c>
      <c r="H8" s="2" t="s">
        <v>206</v>
      </c>
      <c r="I8" s="3">
        <v>0.95720000000000005</v>
      </c>
      <c r="J8" s="2"/>
      <c r="K8" s="2"/>
      <c r="L8" s="2"/>
      <c r="M8" s="2"/>
      <c r="N8" s="2"/>
      <c r="O8" s="2"/>
      <c r="P8" s="2"/>
      <c r="Q8" s="2" t="s">
        <v>207</v>
      </c>
      <c r="R8" s="2" t="s">
        <v>208</v>
      </c>
      <c r="S8" s="2" t="s">
        <v>209</v>
      </c>
      <c r="T8" s="2"/>
      <c r="U8" s="2"/>
    </row>
    <row r="9" spans="1:21" x14ac:dyDescent="0.25">
      <c r="A9" s="2" t="s">
        <v>44</v>
      </c>
      <c r="B9" s="2" t="s">
        <v>213</v>
      </c>
      <c r="C9" s="2" t="s">
        <v>214</v>
      </c>
      <c r="D9" s="2" t="s">
        <v>197</v>
      </c>
      <c r="E9" s="2" t="s">
        <v>28</v>
      </c>
      <c r="F9" s="2" t="s">
        <v>42</v>
      </c>
      <c r="G9" s="2" t="s">
        <v>43</v>
      </c>
      <c r="H9" s="2" t="s">
        <v>210</v>
      </c>
      <c r="I9" s="3">
        <v>0.53369999999999995</v>
      </c>
      <c r="J9" s="2"/>
      <c r="K9" s="2" t="s">
        <v>200</v>
      </c>
      <c r="L9" s="2"/>
      <c r="M9" s="2"/>
      <c r="N9" s="2"/>
      <c r="O9" s="2"/>
      <c r="P9" s="2"/>
      <c r="Q9" s="2"/>
      <c r="R9" s="2"/>
      <c r="S9" s="2"/>
      <c r="T9" s="2" t="s">
        <v>211</v>
      </c>
      <c r="U9" s="2" t="s">
        <v>212</v>
      </c>
    </row>
    <row r="10" spans="1:21" x14ac:dyDescent="0.25">
      <c r="A10" s="2" t="s">
        <v>70</v>
      </c>
      <c r="B10" s="2" t="s">
        <v>215</v>
      </c>
      <c r="C10" s="2" t="s">
        <v>216</v>
      </c>
      <c r="D10" s="2" t="s">
        <v>197</v>
      </c>
      <c r="E10" s="2" t="s">
        <v>28</v>
      </c>
      <c r="F10" s="2" t="s">
        <v>29</v>
      </c>
      <c r="G10" s="2" t="s">
        <v>30</v>
      </c>
      <c r="H10" s="2" t="s">
        <v>198</v>
      </c>
      <c r="I10" s="3">
        <v>0.99339999999999995</v>
      </c>
      <c r="J10" s="2" t="s">
        <v>199</v>
      </c>
      <c r="K10" s="2" t="s">
        <v>200</v>
      </c>
      <c r="L10" s="2"/>
      <c r="M10" s="2" t="s">
        <v>201</v>
      </c>
      <c r="N10" s="2" t="s">
        <v>202</v>
      </c>
      <c r="O10" s="2" t="s">
        <v>203</v>
      </c>
      <c r="P10" s="2"/>
      <c r="Q10" s="2"/>
      <c r="R10" s="2"/>
      <c r="S10" s="2"/>
      <c r="T10" s="2"/>
      <c r="U10" s="2"/>
    </row>
    <row r="11" spans="1:21" x14ac:dyDescent="0.25">
      <c r="A11" s="2" t="s">
        <v>130</v>
      </c>
      <c r="B11" s="2" t="s">
        <v>215</v>
      </c>
      <c r="C11" s="2" t="s">
        <v>216</v>
      </c>
      <c r="D11" s="2" t="s">
        <v>197</v>
      </c>
      <c r="E11" s="2" t="s">
        <v>28</v>
      </c>
      <c r="F11" s="2" t="s">
        <v>29</v>
      </c>
      <c r="G11" s="2" t="s">
        <v>30</v>
      </c>
      <c r="H11" s="2" t="s">
        <v>204</v>
      </c>
      <c r="I11" s="3">
        <v>0.97840000000000005</v>
      </c>
      <c r="J11" s="2"/>
      <c r="K11" s="2" t="s">
        <v>200</v>
      </c>
      <c r="L11" s="2"/>
      <c r="M11" s="2"/>
      <c r="N11" s="2"/>
      <c r="O11" s="2"/>
      <c r="P11" s="2" t="s">
        <v>205</v>
      </c>
      <c r="Q11" s="2"/>
      <c r="R11" s="2"/>
      <c r="S11" s="2"/>
      <c r="T11" s="2"/>
      <c r="U11" s="2"/>
    </row>
    <row r="12" spans="1:21" x14ac:dyDescent="0.25">
      <c r="A12" s="2" t="s">
        <v>131</v>
      </c>
      <c r="B12" s="2" t="s">
        <v>215</v>
      </c>
      <c r="C12" s="2" t="s">
        <v>216</v>
      </c>
      <c r="D12" s="2" t="s">
        <v>197</v>
      </c>
      <c r="E12" s="2" t="s">
        <v>28</v>
      </c>
      <c r="F12" s="2" t="s">
        <v>29</v>
      </c>
      <c r="G12" s="2" t="s">
        <v>30</v>
      </c>
      <c r="H12" s="2" t="s">
        <v>206</v>
      </c>
      <c r="I12" s="3">
        <v>0.98709999999999998</v>
      </c>
      <c r="J12" s="2"/>
      <c r="K12" s="2"/>
      <c r="L12" s="2"/>
      <c r="M12" s="2"/>
      <c r="N12" s="2"/>
      <c r="O12" s="2"/>
      <c r="P12" s="2"/>
      <c r="Q12" s="2" t="s">
        <v>207</v>
      </c>
      <c r="R12" s="2" t="s">
        <v>208</v>
      </c>
      <c r="S12" s="2" t="s">
        <v>209</v>
      </c>
      <c r="T12" s="2"/>
      <c r="U12" s="2"/>
    </row>
    <row r="13" spans="1:21" x14ac:dyDescent="0.25">
      <c r="A13" s="2" t="s">
        <v>31</v>
      </c>
      <c r="B13" s="2" t="s">
        <v>215</v>
      </c>
      <c r="C13" s="2" t="s">
        <v>216</v>
      </c>
      <c r="D13" s="2" t="s">
        <v>197</v>
      </c>
      <c r="E13" s="2" t="s">
        <v>28</v>
      </c>
      <c r="F13" s="2" t="s">
        <v>29</v>
      </c>
      <c r="G13" s="2" t="s">
        <v>30</v>
      </c>
      <c r="H13" s="2" t="s">
        <v>210</v>
      </c>
      <c r="I13" s="3">
        <v>0.98729999999999996</v>
      </c>
      <c r="J13" s="2"/>
      <c r="K13" s="2" t="s">
        <v>200</v>
      </c>
      <c r="L13" s="2"/>
      <c r="M13" s="2"/>
      <c r="N13" s="2"/>
      <c r="O13" s="2"/>
      <c r="P13" s="2"/>
      <c r="Q13" s="2"/>
      <c r="R13" s="2"/>
      <c r="S13" s="2"/>
      <c r="T13" s="2" t="s">
        <v>211</v>
      </c>
      <c r="U13" s="2" t="s">
        <v>212</v>
      </c>
    </row>
    <row r="14" spans="1:21" x14ac:dyDescent="0.25">
      <c r="A14" s="2" t="s">
        <v>77</v>
      </c>
      <c r="B14" s="2" t="s">
        <v>217</v>
      </c>
      <c r="C14" s="2" t="s">
        <v>218</v>
      </c>
      <c r="D14" s="2" t="s">
        <v>197</v>
      </c>
      <c r="E14" s="2" t="s">
        <v>35</v>
      </c>
      <c r="F14" s="2" t="s">
        <v>32</v>
      </c>
      <c r="G14" s="2" t="s">
        <v>33</v>
      </c>
      <c r="H14" s="2" t="s">
        <v>198</v>
      </c>
      <c r="I14" s="3">
        <v>0.91890000000000005</v>
      </c>
      <c r="J14" s="2" t="s">
        <v>199</v>
      </c>
      <c r="K14" s="2" t="s">
        <v>200</v>
      </c>
      <c r="L14" s="2" t="s">
        <v>201</v>
      </c>
      <c r="M14" s="2"/>
      <c r="N14" s="2" t="s">
        <v>202</v>
      </c>
      <c r="O14" s="2" t="s">
        <v>203</v>
      </c>
      <c r="P14" s="2"/>
      <c r="Q14" s="2"/>
      <c r="R14" s="2"/>
      <c r="S14" s="2"/>
      <c r="T14" s="2"/>
      <c r="U14" s="2"/>
    </row>
    <row r="15" spans="1:21" x14ac:dyDescent="0.25">
      <c r="A15" s="2" t="s">
        <v>132</v>
      </c>
      <c r="B15" s="2" t="s">
        <v>217</v>
      </c>
      <c r="C15" s="2" t="s">
        <v>218</v>
      </c>
      <c r="D15" s="2" t="s">
        <v>197</v>
      </c>
      <c r="E15" s="2" t="s">
        <v>35</v>
      </c>
      <c r="F15" s="2" t="s">
        <v>32</v>
      </c>
      <c r="G15" s="2" t="s">
        <v>33</v>
      </c>
      <c r="H15" s="2" t="s">
        <v>204</v>
      </c>
      <c r="I15" s="3">
        <v>0.47660000000000002</v>
      </c>
      <c r="J15" s="2"/>
      <c r="K15" s="2" t="s">
        <v>200</v>
      </c>
      <c r="L15" s="2"/>
      <c r="M15" s="2"/>
      <c r="N15" s="2"/>
      <c r="O15" s="2"/>
      <c r="P15" s="2" t="s">
        <v>205</v>
      </c>
      <c r="Q15" s="2"/>
      <c r="R15" s="2"/>
      <c r="S15" s="2"/>
      <c r="T15" s="2"/>
      <c r="U15" s="2"/>
    </row>
    <row r="16" spans="1:21" x14ac:dyDescent="0.25">
      <c r="A16" s="2" t="s">
        <v>133</v>
      </c>
      <c r="B16" s="2" t="s">
        <v>217</v>
      </c>
      <c r="C16" s="2" t="s">
        <v>218</v>
      </c>
      <c r="D16" s="2" t="s">
        <v>197</v>
      </c>
      <c r="E16" s="2" t="s">
        <v>35</v>
      </c>
      <c r="F16" s="2" t="s">
        <v>32</v>
      </c>
      <c r="G16" s="2" t="s">
        <v>33</v>
      </c>
      <c r="H16" s="2" t="s">
        <v>206</v>
      </c>
      <c r="I16" s="3">
        <v>0.86460000000000004</v>
      </c>
      <c r="J16" s="2"/>
      <c r="K16" s="2"/>
      <c r="L16" s="2"/>
      <c r="M16" s="2"/>
      <c r="N16" s="2"/>
      <c r="O16" s="2"/>
      <c r="P16" s="2"/>
      <c r="Q16" s="2" t="s">
        <v>207</v>
      </c>
      <c r="R16" s="2" t="s">
        <v>208</v>
      </c>
      <c r="S16" s="2" t="s">
        <v>209</v>
      </c>
      <c r="T16" s="2"/>
      <c r="U16" s="2"/>
    </row>
    <row r="17" spans="1:21" x14ac:dyDescent="0.25">
      <c r="A17" s="2" t="s">
        <v>41</v>
      </c>
      <c r="B17" s="2" t="s">
        <v>217</v>
      </c>
      <c r="C17" s="2" t="s">
        <v>218</v>
      </c>
      <c r="D17" s="2" t="s">
        <v>197</v>
      </c>
      <c r="E17" s="2" t="s">
        <v>35</v>
      </c>
      <c r="F17" s="2" t="s">
        <v>32</v>
      </c>
      <c r="G17" s="2" t="s">
        <v>33</v>
      </c>
      <c r="H17" s="2" t="s">
        <v>210</v>
      </c>
      <c r="I17" s="3">
        <v>0.83750000000000002</v>
      </c>
      <c r="J17" s="2"/>
      <c r="K17" s="2" t="s">
        <v>200</v>
      </c>
      <c r="L17" s="2"/>
      <c r="M17" s="2"/>
      <c r="N17" s="2"/>
      <c r="O17" s="2"/>
      <c r="P17" s="2"/>
      <c r="Q17" s="2"/>
      <c r="R17" s="2"/>
      <c r="S17" s="2"/>
      <c r="T17" s="2" t="s">
        <v>211</v>
      </c>
      <c r="U17" s="2" t="s">
        <v>212</v>
      </c>
    </row>
    <row r="18" spans="1:21" x14ac:dyDescent="0.25">
      <c r="A18" s="2" t="s">
        <v>81</v>
      </c>
      <c r="B18" s="2" t="s">
        <v>211</v>
      </c>
      <c r="C18" s="2" t="s">
        <v>219</v>
      </c>
      <c r="D18" s="2" t="s">
        <v>197</v>
      </c>
      <c r="E18" s="2" t="s">
        <v>35</v>
      </c>
      <c r="F18" s="2" t="s">
        <v>42</v>
      </c>
      <c r="G18" s="2" t="s">
        <v>43</v>
      </c>
      <c r="H18" s="2" t="s">
        <v>198</v>
      </c>
      <c r="I18" s="3">
        <v>0.85799999999999998</v>
      </c>
      <c r="J18" s="2" t="s">
        <v>199</v>
      </c>
      <c r="K18" s="2" t="s">
        <v>200</v>
      </c>
      <c r="L18" s="2" t="s">
        <v>201</v>
      </c>
      <c r="M18" s="2"/>
      <c r="N18" s="2" t="s">
        <v>202</v>
      </c>
      <c r="O18" s="2" t="s">
        <v>203</v>
      </c>
      <c r="P18" s="2"/>
      <c r="Q18" s="2"/>
      <c r="R18" s="2"/>
      <c r="S18" s="2"/>
      <c r="T18" s="2"/>
      <c r="U18" s="2"/>
    </row>
    <row r="19" spans="1:21" x14ac:dyDescent="0.25">
      <c r="A19" s="2" t="s">
        <v>134</v>
      </c>
      <c r="B19" s="2" t="s">
        <v>211</v>
      </c>
      <c r="C19" s="2" t="s">
        <v>219</v>
      </c>
      <c r="D19" s="2" t="s">
        <v>197</v>
      </c>
      <c r="E19" s="2" t="s">
        <v>35</v>
      </c>
      <c r="F19" s="2" t="s">
        <v>42</v>
      </c>
      <c r="G19" s="2" t="s">
        <v>43</v>
      </c>
      <c r="H19" s="2" t="s">
        <v>204</v>
      </c>
      <c r="I19" s="3">
        <v>0.4698</v>
      </c>
      <c r="J19" s="2"/>
      <c r="K19" s="2" t="s">
        <v>200</v>
      </c>
      <c r="L19" s="2"/>
      <c r="M19" s="2"/>
      <c r="N19" s="2"/>
      <c r="O19" s="2"/>
      <c r="P19" s="2" t="s">
        <v>205</v>
      </c>
      <c r="Q19" s="2"/>
      <c r="R19" s="2"/>
      <c r="S19" s="2"/>
      <c r="T19" s="2"/>
      <c r="U19" s="2"/>
    </row>
    <row r="20" spans="1:21" x14ac:dyDescent="0.25">
      <c r="A20" s="2" t="s">
        <v>135</v>
      </c>
      <c r="B20" s="2" t="s">
        <v>211</v>
      </c>
      <c r="C20" s="2" t="s">
        <v>219</v>
      </c>
      <c r="D20" s="2" t="s">
        <v>197</v>
      </c>
      <c r="E20" s="2" t="s">
        <v>35</v>
      </c>
      <c r="F20" s="2" t="s">
        <v>42</v>
      </c>
      <c r="G20" s="2" t="s">
        <v>43</v>
      </c>
      <c r="H20" s="2" t="s">
        <v>206</v>
      </c>
      <c r="I20" s="3">
        <v>0.64710000000000001</v>
      </c>
      <c r="J20" s="2"/>
      <c r="K20" s="2"/>
      <c r="L20" s="2"/>
      <c r="M20" s="2"/>
      <c r="N20" s="2"/>
      <c r="O20" s="2"/>
      <c r="P20" s="2"/>
      <c r="Q20" s="2" t="s">
        <v>207</v>
      </c>
      <c r="R20" s="2" t="s">
        <v>208</v>
      </c>
      <c r="S20" s="2" t="s">
        <v>209</v>
      </c>
      <c r="T20" s="2"/>
      <c r="U20" s="2"/>
    </row>
    <row r="21" spans="1:21" x14ac:dyDescent="0.25">
      <c r="A21" s="2" t="s">
        <v>46</v>
      </c>
      <c r="B21" s="2" t="s">
        <v>211</v>
      </c>
      <c r="C21" s="2" t="s">
        <v>219</v>
      </c>
      <c r="D21" s="2" t="s">
        <v>197</v>
      </c>
      <c r="E21" s="2" t="s">
        <v>35</v>
      </c>
      <c r="F21" s="2" t="s">
        <v>42</v>
      </c>
      <c r="G21" s="2" t="s">
        <v>43</v>
      </c>
      <c r="H21" s="2" t="s">
        <v>210</v>
      </c>
      <c r="I21" s="3">
        <v>0.1784</v>
      </c>
      <c r="J21" s="2"/>
      <c r="K21" s="2" t="s">
        <v>200</v>
      </c>
      <c r="L21" s="2"/>
      <c r="M21" s="2"/>
      <c r="N21" s="2"/>
      <c r="O21" s="2"/>
      <c r="P21" s="2"/>
      <c r="Q21" s="2"/>
      <c r="R21" s="2"/>
      <c r="S21" s="2"/>
      <c r="T21" s="2" t="s">
        <v>211</v>
      </c>
      <c r="U21" s="2" t="s">
        <v>212</v>
      </c>
    </row>
    <row r="22" spans="1:21" x14ac:dyDescent="0.25">
      <c r="A22" s="2" t="s">
        <v>73</v>
      </c>
      <c r="B22" s="2" t="s">
        <v>220</v>
      </c>
      <c r="C22" s="2" t="s">
        <v>221</v>
      </c>
      <c r="D22" s="2" t="s">
        <v>197</v>
      </c>
      <c r="E22" s="2" t="s">
        <v>35</v>
      </c>
      <c r="F22" s="2" t="s">
        <v>29</v>
      </c>
      <c r="G22" s="2" t="s">
        <v>30</v>
      </c>
      <c r="H22" s="2" t="s">
        <v>198</v>
      </c>
      <c r="I22" s="3">
        <v>0.94269999999999998</v>
      </c>
      <c r="J22" s="2" t="s">
        <v>199</v>
      </c>
      <c r="K22" s="2" t="s">
        <v>200</v>
      </c>
      <c r="L22" s="2"/>
      <c r="M22" s="2" t="s">
        <v>201</v>
      </c>
      <c r="N22" s="2" t="s">
        <v>202</v>
      </c>
      <c r="O22" s="2" t="s">
        <v>203</v>
      </c>
      <c r="P22" s="2"/>
      <c r="Q22" s="2"/>
      <c r="R22" s="2"/>
      <c r="S22" s="2"/>
      <c r="T22" s="2"/>
      <c r="U22" s="2"/>
    </row>
    <row r="23" spans="1:21" x14ac:dyDescent="0.25">
      <c r="A23" s="2" t="s">
        <v>136</v>
      </c>
      <c r="B23" s="2" t="s">
        <v>220</v>
      </c>
      <c r="C23" s="2" t="s">
        <v>221</v>
      </c>
      <c r="D23" s="2" t="s">
        <v>197</v>
      </c>
      <c r="E23" s="2" t="s">
        <v>35</v>
      </c>
      <c r="F23" s="2" t="s">
        <v>29</v>
      </c>
      <c r="G23" s="2" t="s">
        <v>30</v>
      </c>
      <c r="H23" s="2" t="s">
        <v>204</v>
      </c>
      <c r="I23" s="3">
        <v>0.88249999999999995</v>
      </c>
      <c r="J23" s="2"/>
      <c r="K23" s="2" t="s">
        <v>200</v>
      </c>
      <c r="L23" s="2"/>
      <c r="M23" s="2"/>
      <c r="N23" s="2"/>
      <c r="O23" s="2"/>
      <c r="P23" s="2" t="s">
        <v>205</v>
      </c>
      <c r="Q23" s="2"/>
      <c r="R23" s="2"/>
      <c r="S23" s="2"/>
      <c r="T23" s="2"/>
      <c r="U23" s="2"/>
    </row>
    <row r="24" spans="1:21" x14ac:dyDescent="0.25">
      <c r="A24" s="2" t="s">
        <v>137</v>
      </c>
      <c r="B24" s="2" t="s">
        <v>220</v>
      </c>
      <c r="C24" s="2" t="s">
        <v>221</v>
      </c>
      <c r="D24" s="2" t="s">
        <v>197</v>
      </c>
      <c r="E24" s="2" t="s">
        <v>35</v>
      </c>
      <c r="F24" s="2" t="s">
        <v>29</v>
      </c>
      <c r="G24" s="2" t="s">
        <v>30</v>
      </c>
      <c r="H24" s="2" t="s">
        <v>206</v>
      </c>
      <c r="I24" s="3">
        <v>0.93630000000000002</v>
      </c>
      <c r="J24" s="2"/>
      <c r="K24" s="2"/>
      <c r="L24" s="2"/>
      <c r="M24" s="2"/>
      <c r="N24" s="2"/>
      <c r="O24" s="2"/>
      <c r="P24" s="2"/>
      <c r="Q24" s="2" t="s">
        <v>207</v>
      </c>
      <c r="R24" s="2" t="s">
        <v>208</v>
      </c>
      <c r="S24" s="2" t="s">
        <v>209</v>
      </c>
      <c r="T24" s="2"/>
      <c r="U24" s="2"/>
    </row>
    <row r="25" spans="1:21" x14ac:dyDescent="0.25">
      <c r="A25" s="2" t="s">
        <v>36</v>
      </c>
      <c r="B25" s="2" t="s">
        <v>220</v>
      </c>
      <c r="C25" s="2" t="s">
        <v>221</v>
      </c>
      <c r="D25" s="2" t="s">
        <v>197</v>
      </c>
      <c r="E25" s="2" t="s">
        <v>35</v>
      </c>
      <c r="F25" s="2" t="s">
        <v>29</v>
      </c>
      <c r="G25" s="2" t="s">
        <v>30</v>
      </c>
      <c r="H25" s="2" t="s">
        <v>210</v>
      </c>
      <c r="I25" s="3">
        <v>0.93230000000000002</v>
      </c>
      <c r="J25" s="2"/>
      <c r="K25" s="2" t="s">
        <v>200</v>
      </c>
      <c r="L25" s="2"/>
      <c r="M25" s="2"/>
      <c r="N25" s="2"/>
      <c r="O25" s="2"/>
      <c r="P25" s="2"/>
      <c r="Q25" s="2"/>
      <c r="R25" s="2"/>
      <c r="S25" s="2"/>
      <c r="T25" s="2" t="s">
        <v>211</v>
      </c>
      <c r="U25" s="2" t="s">
        <v>212</v>
      </c>
    </row>
    <row r="26" spans="1:21" x14ac:dyDescent="0.25">
      <c r="A26" s="2" t="s">
        <v>76</v>
      </c>
      <c r="B26" s="2" t="s">
        <v>222</v>
      </c>
      <c r="C26" s="2" t="s">
        <v>223</v>
      </c>
      <c r="D26" s="2" t="s">
        <v>197</v>
      </c>
      <c r="E26" s="2" t="s">
        <v>37</v>
      </c>
      <c r="F26" s="2" t="s">
        <v>32</v>
      </c>
      <c r="G26" s="2" t="s">
        <v>33</v>
      </c>
      <c r="H26" s="2" t="s">
        <v>198</v>
      </c>
      <c r="I26" s="3">
        <v>0.89249999999999996</v>
      </c>
      <c r="J26" s="2" t="s">
        <v>224</v>
      </c>
      <c r="K26" s="2" t="s">
        <v>200</v>
      </c>
      <c r="L26" s="2" t="s">
        <v>201</v>
      </c>
      <c r="M26" s="2"/>
      <c r="N26" s="2" t="s">
        <v>202</v>
      </c>
      <c r="O26" s="2" t="s">
        <v>203</v>
      </c>
      <c r="P26" s="2"/>
      <c r="Q26" s="2"/>
      <c r="R26" s="2"/>
      <c r="S26" s="2"/>
      <c r="T26" s="2"/>
      <c r="U26" s="2"/>
    </row>
    <row r="27" spans="1:21" x14ac:dyDescent="0.25">
      <c r="A27" s="2" t="s">
        <v>138</v>
      </c>
      <c r="B27" s="2" t="s">
        <v>222</v>
      </c>
      <c r="C27" s="2" t="s">
        <v>223</v>
      </c>
      <c r="D27" s="2" t="s">
        <v>197</v>
      </c>
      <c r="E27" s="2" t="s">
        <v>37</v>
      </c>
      <c r="F27" s="2" t="s">
        <v>32</v>
      </c>
      <c r="G27" s="2" t="s">
        <v>33</v>
      </c>
      <c r="H27" s="2" t="s">
        <v>204</v>
      </c>
      <c r="I27" s="3">
        <v>0.75439999999999996</v>
      </c>
      <c r="J27" s="2"/>
      <c r="K27" s="2" t="s">
        <v>200</v>
      </c>
      <c r="L27" s="2"/>
      <c r="M27" s="2"/>
      <c r="N27" s="2"/>
      <c r="O27" s="2"/>
      <c r="P27" s="2" t="s">
        <v>205</v>
      </c>
      <c r="Q27" s="2"/>
      <c r="R27" s="2"/>
      <c r="S27" s="2"/>
      <c r="T27" s="2"/>
      <c r="U27" s="2"/>
    </row>
    <row r="28" spans="1:21" x14ac:dyDescent="0.25">
      <c r="A28" s="2" t="s">
        <v>139</v>
      </c>
      <c r="B28" s="2" t="s">
        <v>222</v>
      </c>
      <c r="C28" s="2" t="s">
        <v>223</v>
      </c>
      <c r="D28" s="2" t="s">
        <v>197</v>
      </c>
      <c r="E28" s="2" t="s">
        <v>37</v>
      </c>
      <c r="F28" s="2" t="s">
        <v>32</v>
      </c>
      <c r="G28" s="2" t="s">
        <v>33</v>
      </c>
      <c r="H28" s="2" t="s">
        <v>206</v>
      </c>
      <c r="I28" s="3">
        <v>0.86050000000000004</v>
      </c>
      <c r="J28" s="2"/>
      <c r="K28" s="2"/>
      <c r="L28" s="2"/>
      <c r="M28" s="2"/>
      <c r="N28" s="2"/>
      <c r="O28" s="2"/>
      <c r="P28" s="2"/>
      <c r="Q28" s="2" t="s">
        <v>207</v>
      </c>
      <c r="R28" s="2" t="s">
        <v>208</v>
      </c>
      <c r="S28" s="2" t="s">
        <v>209</v>
      </c>
      <c r="T28" s="2"/>
      <c r="U28" s="2"/>
    </row>
    <row r="29" spans="1:21" x14ac:dyDescent="0.25">
      <c r="A29" s="2" t="s">
        <v>40</v>
      </c>
      <c r="B29" s="2" t="s">
        <v>222</v>
      </c>
      <c r="C29" s="2" t="s">
        <v>223</v>
      </c>
      <c r="D29" s="2" t="s">
        <v>197</v>
      </c>
      <c r="E29" s="2" t="s">
        <v>37</v>
      </c>
      <c r="F29" s="2" t="s">
        <v>32</v>
      </c>
      <c r="G29" s="2" t="s">
        <v>33</v>
      </c>
      <c r="H29" s="2" t="s">
        <v>210</v>
      </c>
      <c r="I29" s="3">
        <v>0.84250000000000003</v>
      </c>
      <c r="J29" s="2"/>
      <c r="K29" s="2" t="s">
        <v>200</v>
      </c>
      <c r="L29" s="2"/>
      <c r="M29" s="2"/>
      <c r="N29" s="2"/>
      <c r="O29" s="2"/>
      <c r="P29" s="2"/>
      <c r="Q29" s="2"/>
      <c r="R29" s="2"/>
      <c r="S29" s="2"/>
      <c r="T29" s="2" t="s">
        <v>211</v>
      </c>
      <c r="U29" s="2" t="s">
        <v>212</v>
      </c>
    </row>
    <row r="30" spans="1:21" x14ac:dyDescent="0.25">
      <c r="A30" s="2" t="s">
        <v>141</v>
      </c>
      <c r="B30" s="2" t="s">
        <v>225</v>
      </c>
      <c r="C30" s="2" t="s">
        <v>226</v>
      </c>
      <c r="D30" s="2" t="s">
        <v>197</v>
      </c>
      <c r="E30" s="2" t="s">
        <v>37</v>
      </c>
      <c r="F30" s="2" t="s">
        <v>42</v>
      </c>
      <c r="G30" s="2" t="s">
        <v>140</v>
      </c>
      <c r="H30" s="2" t="s">
        <v>198</v>
      </c>
      <c r="I30" s="3">
        <v>0.85909999999999997</v>
      </c>
      <c r="J30" s="2" t="s">
        <v>199</v>
      </c>
      <c r="K30" s="2" t="s">
        <v>200</v>
      </c>
      <c r="L30" s="2" t="s">
        <v>201</v>
      </c>
      <c r="M30" s="2"/>
      <c r="N30" s="2" t="s">
        <v>202</v>
      </c>
      <c r="O30" s="2" t="s">
        <v>203</v>
      </c>
      <c r="P30" s="2"/>
      <c r="Q30" s="2"/>
      <c r="R30" s="2"/>
      <c r="S30" s="2"/>
      <c r="T30" s="2"/>
      <c r="U30" s="2"/>
    </row>
    <row r="31" spans="1:21" x14ac:dyDescent="0.25">
      <c r="A31" s="2" t="s">
        <v>80</v>
      </c>
      <c r="B31" s="2" t="s">
        <v>225</v>
      </c>
      <c r="C31" s="2" t="s">
        <v>226</v>
      </c>
      <c r="D31" s="2" t="s">
        <v>197</v>
      </c>
      <c r="E31" s="2" t="s">
        <v>37</v>
      </c>
      <c r="F31" s="2" t="s">
        <v>42</v>
      </c>
      <c r="G31" s="2" t="s">
        <v>43</v>
      </c>
      <c r="H31" s="2" t="s">
        <v>198</v>
      </c>
      <c r="I31" s="3">
        <v>0.88959999999999995</v>
      </c>
      <c r="J31" s="2" t="s">
        <v>199</v>
      </c>
      <c r="K31" s="2" t="s">
        <v>200</v>
      </c>
      <c r="L31" s="2" t="s">
        <v>201</v>
      </c>
      <c r="M31" s="2"/>
      <c r="N31" s="2" t="s">
        <v>202</v>
      </c>
      <c r="O31" s="2" t="s">
        <v>203</v>
      </c>
      <c r="P31" s="2"/>
      <c r="Q31" s="2"/>
      <c r="R31" s="2"/>
      <c r="S31" s="2"/>
      <c r="T31" s="2"/>
      <c r="U31" s="2"/>
    </row>
    <row r="32" spans="1:21" x14ac:dyDescent="0.25">
      <c r="A32" s="2" t="s">
        <v>142</v>
      </c>
      <c r="B32" s="2" t="s">
        <v>225</v>
      </c>
      <c r="C32" s="2" t="s">
        <v>226</v>
      </c>
      <c r="D32" s="2" t="s">
        <v>197</v>
      </c>
      <c r="E32" s="2" t="s">
        <v>37</v>
      </c>
      <c r="F32" s="2" t="s">
        <v>42</v>
      </c>
      <c r="G32" s="2" t="s">
        <v>43</v>
      </c>
      <c r="H32" s="2" t="s">
        <v>204</v>
      </c>
      <c r="I32" s="3">
        <v>0.84509999999999996</v>
      </c>
      <c r="J32" s="2"/>
      <c r="K32" s="2" t="s">
        <v>200</v>
      </c>
      <c r="L32" s="2"/>
      <c r="M32" s="2"/>
      <c r="N32" s="2"/>
      <c r="O32" s="2"/>
      <c r="P32" s="2" t="s">
        <v>205</v>
      </c>
      <c r="Q32" s="2"/>
      <c r="R32" s="2"/>
      <c r="S32" s="2"/>
      <c r="T32" s="2"/>
      <c r="U32" s="2"/>
    </row>
    <row r="33" spans="1:21" x14ac:dyDescent="0.25">
      <c r="A33" s="2" t="s">
        <v>143</v>
      </c>
      <c r="B33" s="2" t="s">
        <v>225</v>
      </c>
      <c r="C33" s="2" t="s">
        <v>226</v>
      </c>
      <c r="D33" s="2" t="s">
        <v>197</v>
      </c>
      <c r="E33" s="2" t="s">
        <v>37</v>
      </c>
      <c r="F33" s="2" t="s">
        <v>42</v>
      </c>
      <c r="G33" s="2" t="s">
        <v>43</v>
      </c>
      <c r="H33" s="2" t="s">
        <v>206</v>
      </c>
      <c r="I33" s="3">
        <v>0.87250000000000005</v>
      </c>
      <c r="J33" s="2"/>
      <c r="K33" s="2"/>
      <c r="L33" s="2"/>
      <c r="M33" s="2"/>
      <c r="N33" s="2"/>
      <c r="O33" s="2"/>
      <c r="P33" s="2"/>
      <c r="Q33" s="2" t="s">
        <v>207</v>
      </c>
      <c r="R33" s="2" t="s">
        <v>208</v>
      </c>
      <c r="S33" s="2" t="s">
        <v>209</v>
      </c>
      <c r="T33" s="2"/>
      <c r="U33" s="2"/>
    </row>
    <row r="34" spans="1:21" x14ac:dyDescent="0.25">
      <c r="A34" s="2" t="s">
        <v>45</v>
      </c>
      <c r="B34" s="2" t="s">
        <v>225</v>
      </c>
      <c r="C34" s="2" t="s">
        <v>226</v>
      </c>
      <c r="D34" s="2" t="s">
        <v>197</v>
      </c>
      <c r="E34" s="2" t="s">
        <v>37</v>
      </c>
      <c r="F34" s="2" t="s">
        <v>42</v>
      </c>
      <c r="G34" s="2" t="s">
        <v>43</v>
      </c>
      <c r="H34" s="2" t="s">
        <v>210</v>
      </c>
      <c r="I34" s="3">
        <v>0.47470000000000001</v>
      </c>
      <c r="J34" s="2"/>
      <c r="K34" s="2" t="s">
        <v>200</v>
      </c>
      <c r="L34" s="2"/>
      <c r="M34" s="2"/>
      <c r="N34" s="2"/>
      <c r="O34" s="2"/>
      <c r="P34" s="2"/>
      <c r="Q34" s="2"/>
      <c r="R34" s="2"/>
      <c r="S34" s="2"/>
      <c r="T34" s="2" t="s">
        <v>211</v>
      </c>
      <c r="U34" s="2" t="s">
        <v>212</v>
      </c>
    </row>
    <row r="35" spans="1:21" x14ac:dyDescent="0.25">
      <c r="A35" s="2" t="s">
        <v>227</v>
      </c>
      <c r="B35" s="2" t="s">
        <v>225</v>
      </c>
      <c r="C35" s="2" t="s">
        <v>226</v>
      </c>
      <c r="D35" s="2" t="s">
        <v>197</v>
      </c>
      <c r="E35" s="2" t="s">
        <v>37</v>
      </c>
      <c r="F35" s="2" t="s">
        <v>42</v>
      </c>
      <c r="G35" s="2" t="s">
        <v>43</v>
      </c>
      <c r="H35" s="2" t="s">
        <v>210</v>
      </c>
      <c r="I35" s="3">
        <v>0.29549999999999998</v>
      </c>
      <c r="J35" s="2"/>
      <c r="K35" s="2" t="s">
        <v>200</v>
      </c>
      <c r="L35" s="2"/>
      <c r="M35" s="2"/>
      <c r="N35" s="2"/>
      <c r="O35" s="2"/>
      <c r="P35" s="2"/>
      <c r="Q35" s="2"/>
      <c r="R35" s="2"/>
      <c r="S35" s="2"/>
      <c r="T35" s="2" t="s">
        <v>211</v>
      </c>
      <c r="U35" s="2" t="s">
        <v>212</v>
      </c>
    </row>
    <row r="36" spans="1:21" x14ac:dyDescent="0.25">
      <c r="A36" s="2" t="s">
        <v>228</v>
      </c>
      <c r="B36" s="2" t="s">
        <v>225</v>
      </c>
      <c r="C36" s="2" t="s">
        <v>226</v>
      </c>
      <c r="D36" s="2" t="s">
        <v>197</v>
      </c>
      <c r="E36" s="2" t="s">
        <v>37</v>
      </c>
      <c r="F36" s="2" t="s">
        <v>42</v>
      </c>
      <c r="G36" s="2" t="s">
        <v>43</v>
      </c>
      <c r="H36" s="2" t="s">
        <v>210</v>
      </c>
      <c r="I36" s="3">
        <v>0.25209999999999999</v>
      </c>
      <c r="J36" s="2"/>
      <c r="K36" s="2" t="s">
        <v>200</v>
      </c>
      <c r="L36" s="2"/>
      <c r="M36" s="2"/>
      <c r="N36" s="2"/>
      <c r="O36" s="2"/>
      <c r="P36" s="2"/>
      <c r="Q36" s="2"/>
      <c r="R36" s="2"/>
      <c r="S36" s="2"/>
      <c r="T36" s="2" t="s">
        <v>211</v>
      </c>
      <c r="U36" s="2" t="s">
        <v>212</v>
      </c>
    </row>
    <row r="37" spans="1:21" x14ac:dyDescent="0.25">
      <c r="A37" s="2" t="s">
        <v>83</v>
      </c>
      <c r="B37" s="2" t="s">
        <v>225</v>
      </c>
      <c r="C37" s="2" t="s">
        <v>226</v>
      </c>
      <c r="D37" s="2" t="s">
        <v>197</v>
      </c>
      <c r="E37" s="2" t="s">
        <v>37</v>
      </c>
      <c r="F37" s="2" t="s">
        <v>42</v>
      </c>
      <c r="G37" s="2" t="s">
        <v>47</v>
      </c>
      <c r="H37" s="2" t="s">
        <v>198</v>
      </c>
      <c r="I37" s="3">
        <v>0.86570000000000003</v>
      </c>
      <c r="J37" s="2" t="s">
        <v>209</v>
      </c>
      <c r="K37" s="2" t="s">
        <v>200</v>
      </c>
      <c r="L37" s="2" t="s">
        <v>229</v>
      </c>
      <c r="M37" s="2"/>
      <c r="N37" s="2" t="s">
        <v>202</v>
      </c>
      <c r="O37" s="2" t="s">
        <v>229</v>
      </c>
      <c r="P37" s="2"/>
      <c r="Q37" s="2"/>
      <c r="R37" s="2"/>
      <c r="S37" s="2"/>
      <c r="T37" s="2"/>
      <c r="U37" s="2"/>
    </row>
    <row r="38" spans="1:21" x14ac:dyDescent="0.25">
      <c r="A38" s="2" t="s">
        <v>144</v>
      </c>
      <c r="B38" s="2" t="s">
        <v>225</v>
      </c>
      <c r="C38" s="2" t="s">
        <v>226</v>
      </c>
      <c r="D38" s="2" t="s">
        <v>197</v>
      </c>
      <c r="E38" s="2" t="s">
        <v>37</v>
      </c>
      <c r="F38" s="2" t="s">
        <v>42</v>
      </c>
      <c r="G38" s="2" t="s">
        <v>47</v>
      </c>
      <c r="H38" s="2" t="s">
        <v>204</v>
      </c>
      <c r="I38" s="3">
        <v>0.5847</v>
      </c>
      <c r="J38" s="2"/>
      <c r="K38" s="2" t="s">
        <v>200</v>
      </c>
      <c r="L38" s="2"/>
      <c r="M38" s="2"/>
      <c r="N38" s="2"/>
      <c r="O38" s="2"/>
      <c r="P38" s="2" t="s">
        <v>205</v>
      </c>
      <c r="Q38" s="2"/>
      <c r="R38" s="2"/>
      <c r="S38" s="2"/>
      <c r="T38" s="2"/>
      <c r="U38" s="2"/>
    </row>
    <row r="39" spans="1:21" x14ac:dyDescent="0.25">
      <c r="A39" s="2" t="s">
        <v>145</v>
      </c>
      <c r="B39" s="2" t="s">
        <v>225</v>
      </c>
      <c r="C39" s="2" t="s">
        <v>226</v>
      </c>
      <c r="D39" s="2" t="s">
        <v>197</v>
      </c>
      <c r="E39" s="2" t="s">
        <v>37</v>
      </c>
      <c r="F39" s="2" t="s">
        <v>42</v>
      </c>
      <c r="G39" s="2" t="s">
        <v>47</v>
      </c>
      <c r="H39" s="2" t="s">
        <v>206</v>
      </c>
      <c r="I39" s="3">
        <v>0.85350000000000004</v>
      </c>
      <c r="J39" s="2"/>
      <c r="K39" s="2"/>
      <c r="L39" s="2"/>
      <c r="M39" s="2"/>
      <c r="N39" s="2"/>
      <c r="O39" s="2"/>
      <c r="P39" s="2"/>
      <c r="Q39" s="2" t="s">
        <v>207</v>
      </c>
      <c r="R39" s="2" t="s">
        <v>208</v>
      </c>
      <c r="S39" s="2" t="s">
        <v>209</v>
      </c>
      <c r="T39" s="2"/>
      <c r="U39" s="2"/>
    </row>
    <row r="40" spans="1:21" x14ac:dyDescent="0.25">
      <c r="A40" s="2" t="s">
        <v>48</v>
      </c>
      <c r="B40" s="2" t="s">
        <v>225</v>
      </c>
      <c r="C40" s="2" t="s">
        <v>226</v>
      </c>
      <c r="D40" s="2" t="s">
        <v>197</v>
      </c>
      <c r="E40" s="2" t="s">
        <v>37</v>
      </c>
      <c r="F40" s="2" t="s">
        <v>42</v>
      </c>
      <c r="G40" s="2" t="s">
        <v>47</v>
      </c>
      <c r="H40" s="2" t="s">
        <v>210</v>
      </c>
      <c r="I40" s="3">
        <v>0</v>
      </c>
      <c r="J40" s="2"/>
      <c r="K40" s="2" t="s">
        <v>200</v>
      </c>
      <c r="L40" s="2"/>
      <c r="M40" s="2"/>
      <c r="N40" s="2"/>
      <c r="O40" s="2"/>
      <c r="P40" s="2"/>
      <c r="Q40" s="2"/>
      <c r="R40" s="2"/>
      <c r="S40" s="2"/>
      <c r="T40" s="2" t="s">
        <v>211</v>
      </c>
      <c r="U40" s="2" t="s">
        <v>212</v>
      </c>
    </row>
    <row r="41" spans="1:21" x14ac:dyDescent="0.25">
      <c r="A41" s="2" t="s">
        <v>147</v>
      </c>
      <c r="B41" s="2" t="s">
        <v>230</v>
      </c>
      <c r="C41" s="2" t="s">
        <v>231</v>
      </c>
      <c r="D41" s="2" t="s">
        <v>197</v>
      </c>
      <c r="E41" s="2" t="s">
        <v>37</v>
      </c>
      <c r="F41" s="2" t="s">
        <v>29</v>
      </c>
      <c r="G41" s="2" t="s">
        <v>146</v>
      </c>
      <c r="H41" s="2" t="s">
        <v>198</v>
      </c>
      <c r="I41" s="3">
        <v>0.87160000000000004</v>
      </c>
      <c r="J41" s="2" t="s">
        <v>199</v>
      </c>
      <c r="K41" s="2" t="s">
        <v>200</v>
      </c>
      <c r="L41" s="2"/>
      <c r="M41" s="2" t="s">
        <v>201</v>
      </c>
      <c r="N41" s="2" t="s">
        <v>202</v>
      </c>
      <c r="O41" s="2" t="s">
        <v>203</v>
      </c>
      <c r="P41" s="2"/>
      <c r="Q41" s="2"/>
      <c r="R41" s="2"/>
      <c r="S41" s="2"/>
      <c r="T41" s="2"/>
      <c r="U41" s="2"/>
    </row>
    <row r="42" spans="1:21" x14ac:dyDescent="0.25">
      <c r="A42" s="2" t="s">
        <v>148</v>
      </c>
      <c r="B42" s="2" t="s">
        <v>230</v>
      </c>
      <c r="C42" s="2" t="s">
        <v>231</v>
      </c>
      <c r="D42" s="2" t="s">
        <v>197</v>
      </c>
      <c r="E42" s="2" t="s">
        <v>37</v>
      </c>
      <c r="F42" s="2" t="s">
        <v>29</v>
      </c>
      <c r="G42" s="2" t="s">
        <v>30</v>
      </c>
      <c r="H42" s="2" t="s">
        <v>198</v>
      </c>
      <c r="I42" s="3">
        <v>0.87860000000000005</v>
      </c>
      <c r="J42" s="2" t="s">
        <v>199</v>
      </c>
      <c r="K42" s="2" t="s">
        <v>200</v>
      </c>
      <c r="L42" s="2"/>
      <c r="M42" s="2" t="s">
        <v>201</v>
      </c>
      <c r="N42" s="2" t="s">
        <v>202</v>
      </c>
      <c r="O42" s="2" t="s">
        <v>203</v>
      </c>
      <c r="P42" s="2"/>
      <c r="Q42" s="2"/>
      <c r="R42" s="2"/>
      <c r="S42" s="2"/>
      <c r="T42" s="2"/>
      <c r="U42" s="2"/>
    </row>
    <row r="43" spans="1:21" x14ac:dyDescent="0.25">
      <c r="A43" s="2" t="s">
        <v>75</v>
      </c>
      <c r="B43" s="2" t="s">
        <v>230</v>
      </c>
      <c r="C43" s="2" t="s">
        <v>231</v>
      </c>
      <c r="D43" s="2" t="s">
        <v>197</v>
      </c>
      <c r="E43" s="2" t="s">
        <v>37</v>
      </c>
      <c r="F43" s="2" t="s">
        <v>29</v>
      </c>
      <c r="G43" s="2" t="s">
        <v>38</v>
      </c>
      <c r="H43" s="2" t="s">
        <v>198</v>
      </c>
      <c r="I43" s="3">
        <v>0.88370000000000004</v>
      </c>
      <c r="J43" s="2" t="s">
        <v>209</v>
      </c>
      <c r="K43" s="2" t="s">
        <v>200</v>
      </c>
      <c r="L43" s="2"/>
      <c r="M43" s="2" t="s">
        <v>229</v>
      </c>
      <c r="N43" s="2" t="s">
        <v>202</v>
      </c>
      <c r="O43" s="2" t="s">
        <v>229</v>
      </c>
      <c r="P43" s="2"/>
      <c r="Q43" s="2"/>
      <c r="R43" s="2"/>
      <c r="S43" s="2"/>
      <c r="T43" s="2"/>
      <c r="U43" s="2"/>
    </row>
    <row r="44" spans="1:21" x14ac:dyDescent="0.25">
      <c r="A44" s="2" t="s">
        <v>149</v>
      </c>
      <c r="B44" s="2" t="s">
        <v>230</v>
      </c>
      <c r="C44" s="2" t="s">
        <v>231</v>
      </c>
      <c r="D44" s="2" t="s">
        <v>197</v>
      </c>
      <c r="E44" s="2" t="s">
        <v>37</v>
      </c>
      <c r="F44" s="2" t="s">
        <v>29</v>
      </c>
      <c r="G44" s="2" t="s">
        <v>38</v>
      </c>
      <c r="H44" s="2" t="s">
        <v>204</v>
      </c>
      <c r="I44" s="3">
        <v>0.83620000000000005</v>
      </c>
      <c r="J44" s="2"/>
      <c r="K44" s="2" t="s">
        <v>200</v>
      </c>
      <c r="L44" s="2"/>
      <c r="M44" s="2"/>
      <c r="N44" s="2"/>
      <c r="O44" s="2"/>
      <c r="P44" s="2" t="s">
        <v>205</v>
      </c>
      <c r="Q44" s="2"/>
      <c r="R44" s="2"/>
      <c r="S44" s="2"/>
      <c r="T44" s="2"/>
      <c r="U44" s="2"/>
    </row>
    <row r="45" spans="1:21" x14ac:dyDescent="0.25">
      <c r="A45" s="2" t="s">
        <v>150</v>
      </c>
      <c r="B45" s="2" t="s">
        <v>230</v>
      </c>
      <c r="C45" s="2" t="s">
        <v>231</v>
      </c>
      <c r="D45" s="2" t="s">
        <v>197</v>
      </c>
      <c r="E45" s="2" t="s">
        <v>37</v>
      </c>
      <c r="F45" s="2" t="s">
        <v>29</v>
      </c>
      <c r="G45" s="2" t="s">
        <v>38</v>
      </c>
      <c r="H45" s="2" t="s">
        <v>206</v>
      </c>
      <c r="I45" s="3">
        <v>0.89659999999999995</v>
      </c>
      <c r="J45" s="2"/>
      <c r="K45" s="2"/>
      <c r="L45" s="2"/>
      <c r="M45" s="2"/>
      <c r="N45" s="2"/>
      <c r="O45" s="2"/>
      <c r="P45" s="2"/>
      <c r="Q45" s="2" t="s">
        <v>207</v>
      </c>
      <c r="R45" s="2" t="s">
        <v>208</v>
      </c>
      <c r="S45" s="2" t="s">
        <v>209</v>
      </c>
      <c r="T45" s="2"/>
      <c r="U45" s="2"/>
    </row>
    <row r="46" spans="1:21" x14ac:dyDescent="0.25">
      <c r="A46" s="2" t="s">
        <v>39</v>
      </c>
      <c r="B46" s="2" t="s">
        <v>230</v>
      </c>
      <c r="C46" s="2" t="s">
        <v>231</v>
      </c>
      <c r="D46" s="2" t="s">
        <v>197</v>
      </c>
      <c r="E46" s="2" t="s">
        <v>37</v>
      </c>
      <c r="F46" s="2" t="s">
        <v>29</v>
      </c>
      <c r="G46" s="2" t="s">
        <v>38</v>
      </c>
      <c r="H46" s="2" t="s">
        <v>210</v>
      </c>
      <c r="I46" s="3">
        <v>0.89739999999999998</v>
      </c>
      <c r="J46" s="2"/>
      <c r="K46" s="2" t="s">
        <v>200</v>
      </c>
      <c r="L46" s="2"/>
      <c r="M46" s="2"/>
      <c r="N46" s="2"/>
      <c r="O46" s="2"/>
      <c r="P46" s="2"/>
      <c r="Q46" s="2"/>
      <c r="R46" s="2"/>
      <c r="S46" s="2"/>
      <c r="T46" s="2" t="s">
        <v>211</v>
      </c>
      <c r="U46" s="2" t="s">
        <v>212</v>
      </c>
    </row>
    <row r="47" spans="1:21" x14ac:dyDescent="0.25">
      <c r="A47" s="2" t="s">
        <v>152</v>
      </c>
      <c r="B47" s="2" t="s">
        <v>230</v>
      </c>
      <c r="C47" s="2" t="s">
        <v>231</v>
      </c>
      <c r="D47" s="2" t="s">
        <v>197</v>
      </c>
      <c r="E47" s="2" t="s">
        <v>37</v>
      </c>
      <c r="F47" s="2" t="s">
        <v>29</v>
      </c>
      <c r="G47" s="2" t="s">
        <v>151</v>
      </c>
      <c r="H47" s="2" t="s">
        <v>198</v>
      </c>
      <c r="I47" s="3">
        <v>0.88980000000000004</v>
      </c>
      <c r="J47" s="2" t="s">
        <v>209</v>
      </c>
      <c r="K47" s="2" t="s">
        <v>200</v>
      </c>
      <c r="L47" s="2"/>
      <c r="M47" s="2" t="s">
        <v>201</v>
      </c>
      <c r="N47" s="2" t="s">
        <v>202</v>
      </c>
      <c r="O47" s="2" t="s">
        <v>203</v>
      </c>
      <c r="P47" s="2"/>
      <c r="Q47" s="2"/>
      <c r="R47" s="2"/>
      <c r="S47" s="2"/>
      <c r="T47" s="2"/>
      <c r="U47" s="2"/>
    </row>
    <row r="48" spans="1:21" x14ac:dyDescent="0.25">
      <c r="A48" s="2" t="s">
        <v>154</v>
      </c>
      <c r="B48" s="2" t="s">
        <v>230</v>
      </c>
      <c r="C48" s="2" t="s">
        <v>231</v>
      </c>
      <c r="D48" s="2" t="s">
        <v>197</v>
      </c>
      <c r="E48" s="2" t="s">
        <v>37</v>
      </c>
      <c r="F48" s="2" t="s">
        <v>29</v>
      </c>
      <c r="G48" s="2" t="s">
        <v>153</v>
      </c>
      <c r="H48" s="2" t="s">
        <v>198</v>
      </c>
      <c r="I48" s="3">
        <v>0.89659999999999995</v>
      </c>
      <c r="J48" s="2" t="s">
        <v>199</v>
      </c>
      <c r="K48" s="2" t="s">
        <v>200</v>
      </c>
      <c r="L48" s="2"/>
      <c r="M48" s="2" t="s">
        <v>201</v>
      </c>
      <c r="N48" s="2" t="s">
        <v>202</v>
      </c>
      <c r="O48" s="2" t="s">
        <v>203</v>
      </c>
      <c r="P48" s="2"/>
      <c r="Q48" s="2"/>
      <c r="R48" s="2"/>
      <c r="S48" s="2"/>
      <c r="T48" s="2"/>
      <c r="U48" s="2"/>
    </row>
    <row r="49" spans="1:21" x14ac:dyDescent="0.25">
      <c r="A49" s="2" t="s">
        <v>156</v>
      </c>
      <c r="B49" s="2" t="s">
        <v>232</v>
      </c>
      <c r="C49" s="2" t="s">
        <v>233</v>
      </c>
      <c r="D49" s="2" t="s">
        <v>197</v>
      </c>
      <c r="E49" s="2" t="s">
        <v>155</v>
      </c>
      <c r="F49" s="2" t="s">
        <v>32</v>
      </c>
      <c r="G49" s="2" t="s">
        <v>33</v>
      </c>
      <c r="H49" s="2" t="s">
        <v>198</v>
      </c>
      <c r="I49" s="3">
        <v>0.62350000000000005</v>
      </c>
      <c r="J49" s="2" t="s">
        <v>199</v>
      </c>
      <c r="K49" s="2" t="s">
        <v>200</v>
      </c>
      <c r="L49" s="2" t="s">
        <v>201</v>
      </c>
      <c r="M49" s="2"/>
      <c r="N49" s="2" t="s">
        <v>202</v>
      </c>
      <c r="O49" s="2" t="s">
        <v>203</v>
      </c>
      <c r="P49" s="2"/>
      <c r="Q49" s="2"/>
      <c r="R49" s="2"/>
      <c r="S49" s="2"/>
      <c r="T49" s="2"/>
      <c r="U49" s="2"/>
    </row>
    <row r="50" spans="1:21" x14ac:dyDescent="0.25">
      <c r="A50" s="2" t="s">
        <v>157</v>
      </c>
      <c r="B50" s="2" t="s">
        <v>234</v>
      </c>
      <c r="C50" s="2" t="s">
        <v>235</v>
      </c>
      <c r="D50" s="2" t="s">
        <v>197</v>
      </c>
      <c r="E50" s="2" t="s">
        <v>155</v>
      </c>
      <c r="F50" s="2" t="s">
        <v>42</v>
      </c>
      <c r="G50" s="2" t="s">
        <v>47</v>
      </c>
      <c r="H50" s="2" t="s">
        <v>198</v>
      </c>
      <c r="I50" s="3">
        <v>0.6552</v>
      </c>
      <c r="J50" s="2" t="s">
        <v>199</v>
      </c>
      <c r="K50" s="2" t="s">
        <v>200</v>
      </c>
      <c r="L50" s="2" t="s">
        <v>229</v>
      </c>
      <c r="M50" s="2"/>
      <c r="N50" s="2" t="s">
        <v>202</v>
      </c>
      <c r="O50" s="2" t="s">
        <v>229</v>
      </c>
      <c r="P50" s="2"/>
      <c r="Q50" s="2"/>
      <c r="R50" s="2"/>
      <c r="S50" s="2"/>
      <c r="T50" s="2"/>
      <c r="U50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6" customWidth="1"/>
    <col min="3" max="3" width="38" customWidth="1"/>
    <col min="4" max="4" width="60" customWidth="1"/>
    <col min="5" max="5" width="80" customWidth="1"/>
  </cols>
  <sheetData>
    <row r="1" spans="1:5" x14ac:dyDescent="0.25">
      <c r="A1" s="1" t="s">
        <v>0</v>
      </c>
      <c r="B1" s="1" t="s">
        <v>1</v>
      </c>
      <c r="C1" s="1" t="s">
        <v>236</v>
      </c>
      <c r="D1" s="1" t="s">
        <v>237</v>
      </c>
      <c r="E1" s="1" t="s">
        <v>238</v>
      </c>
    </row>
    <row r="2" spans="1:5" x14ac:dyDescent="0.25">
      <c r="A2" s="2" t="s">
        <v>28</v>
      </c>
      <c r="B2" s="2" t="s">
        <v>32</v>
      </c>
      <c r="C2" s="2" t="s">
        <v>239</v>
      </c>
      <c r="D2" s="2" t="s">
        <v>240</v>
      </c>
      <c r="E2" s="2" t="s">
        <v>241</v>
      </c>
    </row>
    <row r="3" spans="1:5" x14ac:dyDescent="0.25">
      <c r="A3" s="2" t="s">
        <v>28</v>
      </c>
      <c r="B3" s="2" t="s">
        <v>32</v>
      </c>
      <c r="C3" s="2" t="s">
        <v>242</v>
      </c>
      <c r="D3" s="2" t="s">
        <v>243</v>
      </c>
      <c r="E3" s="2" t="s">
        <v>244</v>
      </c>
    </row>
    <row r="4" spans="1:5" x14ac:dyDescent="0.25">
      <c r="A4" s="2" t="s">
        <v>28</v>
      </c>
      <c r="B4" s="2" t="s">
        <v>32</v>
      </c>
      <c r="C4" s="2" t="s">
        <v>245</v>
      </c>
      <c r="D4" s="2" t="s">
        <v>246</v>
      </c>
      <c r="E4" s="2" t="s">
        <v>247</v>
      </c>
    </row>
    <row r="5" spans="1:5" x14ac:dyDescent="0.25">
      <c r="A5" s="2" t="s">
        <v>28</v>
      </c>
      <c r="B5" s="2" t="s">
        <v>32</v>
      </c>
      <c r="C5" s="2" t="s">
        <v>248</v>
      </c>
      <c r="D5" s="2" t="s">
        <v>249</v>
      </c>
      <c r="E5" s="2" t="s">
        <v>250</v>
      </c>
    </row>
    <row r="6" spans="1:5" x14ac:dyDescent="0.25">
      <c r="A6" s="2" t="s">
        <v>28</v>
      </c>
      <c r="B6" s="2" t="s">
        <v>42</v>
      </c>
      <c r="C6" s="2" t="s">
        <v>251</v>
      </c>
      <c r="D6" s="2" t="s">
        <v>252</v>
      </c>
      <c r="E6" s="2" t="s">
        <v>253</v>
      </c>
    </row>
    <row r="7" spans="1:5" x14ac:dyDescent="0.25">
      <c r="A7" s="2" t="s">
        <v>28</v>
      </c>
      <c r="B7" s="2" t="s">
        <v>42</v>
      </c>
      <c r="C7" s="2" t="s">
        <v>254</v>
      </c>
      <c r="D7" s="2" t="s">
        <v>255</v>
      </c>
      <c r="E7" s="2" t="s">
        <v>256</v>
      </c>
    </row>
    <row r="8" spans="1:5" x14ac:dyDescent="0.25">
      <c r="A8" s="2" t="s">
        <v>28</v>
      </c>
      <c r="B8" s="2" t="s">
        <v>42</v>
      </c>
      <c r="C8" s="2" t="s">
        <v>257</v>
      </c>
      <c r="D8" s="2" t="s">
        <v>258</v>
      </c>
      <c r="E8" s="2" t="s">
        <v>259</v>
      </c>
    </row>
    <row r="9" spans="1:5" x14ac:dyDescent="0.25">
      <c r="A9" s="2" t="s">
        <v>28</v>
      </c>
      <c r="B9" s="2" t="s">
        <v>42</v>
      </c>
      <c r="C9" s="2" t="s">
        <v>260</v>
      </c>
      <c r="D9" s="2" t="s">
        <v>261</v>
      </c>
      <c r="E9" s="2" t="s">
        <v>262</v>
      </c>
    </row>
    <row r="10" spans="1:5" x14ac:dyDescent="0.25">
      <c r="A10" s="2" t="s">
        <v>28</v>
      </c>
      <c r="B10" s="2" t="s">
        <v>42</v>
      </c>
      <c r="C10" s="2" t="s">
        <v>263</v>
      </c>
      <c r="D10" s="2" t="s">
        <v>264</v>
      </c>
      <c r="E10" s="2" t="s">
        <v>265</v>
      </c>
    </row>
    <row r="11" spans="1:5" x14ac:dyDescent="0.25">
      <c r="A11" s="2" t="s">
        <v>28</v>
      </c>
      <c r="B11" s="2" t="s">
        <v>42</v>
      </c>
      <c r="C11" s="2" t="s">
        <v>266</v>
      </c>
      <c r="D11" s="2" t="s">
        <v>267</v>
      </c>
      <c r="E11" s="2" t="s">
        <v>268</v>
      </c>
    </row>
    <row r="12" spans="1:5" x14ac:dyDescent="0.25">
      <c r="A12" s="2" t="s">
        <v>28</v>
      </c>
      <c r="B12" s="2" t="s">
        <v>42</v>
      </c>
      <c r="C12" s="2" t="s">
        <v>269</v>
      </c>
      <c r="D12" s="2" t="s">
        <v>270</v>
      </c>
      <c r="E12" s="2" t="s">
        <v>271</v>
      </c>
    </row>
    <row r="13" spans="1:5" x14ac:dyDescent="0.25">
      <c r="A13" s="2" t="s">
        <v>28</v>
      </c>
      <c r="B13" s="2" t="s">
        <v>42</v>
      </c>
      <c r="C13" s="2" t="s">
        <v>272</v>
      </c>
      <c r="D13" s="2" t="s">
        <v>273</v>
      </c>
      <c r="E13" s="2" t="s">
        <v>274</v>
      </c>
    </row>
    <row r="14" spans="1:5" x14ac:dyDescent="0.25">
      <c r="A14" s="2" t="s">
        <v>28</v>
      </c>
      <c r="B14" s="2" t="s">
        <v>42</v>
      </c>
      <c r="C14" s="2" t="s">
        <v>275</v>
      </c>
      <c r="D14" s="2" t="s">
        <v>276</v>
      </c>
      <c r="E14" s="2" t="s">
        <v>277</v>
      </c>
    </row>
    <row r="15" spans="1:5" x14ac:dyDescent="0.25">
      <c r="A15" s="2" t="s">
        <v>28</v>
      </c>
      <c r="B15" s="2" t="s">
        <v>42</v>
      </c>
      <c r="C15" s="2" t="s">
        <v>278</v>
      </c>
      <c r="D15" s="2" t="s">
        <v>279</v>
      </c>
      <c r="E15" s="2" t="s">
        <v>280</v>
      </c>
    </row>
    <row r="16" spans="1:5" x14ac:dyDescent="0.25">
      <c r="A16" s="2" t="s">
        <v>28</v>
      </c>
      <c r="B16" s="2" t="s">
        <v>42</v>
      </c>
      <c r="C16" s="2" t="s">
        <v>281</v>
      </c>
      <c r="D16" s="2" t="s">
        <v>282</v>
      </c>
      <c r="E16" s="2" t="s">
        <v>283</v>
      </c>
    </row>
    <row r="17" spans="1:5" x14ac:dyDescent="0.25">
      <c r="A17" s="2" t="s">
        <v>28</v>
      </c>
      <c r="B17" s="2" t="s">
        <v>42</v>
      </c>
      <c r="C17" s="2" t="s">
        <v>284</v>
      </c>
      <c r="D17" s="2" t="s">
        <v>285</v>
      </c>
      <c r="E17" s="2" t="s">
        <v>286</v>
      </c>
    </row>
    <row r="18" spans="1:5" x14ac:dyDescent="0.25">
      <c r="A18" s="2" t="s">
        <v>28</v>
      </c>
      <c r="B18" s="2" t="s">
        <v>29</v>
      </c>
      <c r="C18" s="2" t="s">
        <v>287</v>
      </c>
      <c r="D18" s="2" t="s">
        <v>288</v>
      </c>
      <c r="E18" s="2" t="s">
        <v>289</v>
      </c>
    </row>
    <row r="19" spans="1:5" x14ac:dyDescent="0.25">
      <c r="A19" s="2" t="s">
        <v>28</v>
      </c>
      <c r="B19" s="2" t="s">
        <v>29</v>
      </c>
      <c r="C19" s="2" t="s">
        <v>290</v>
      </c>
      <c r="D19" s="2" t="s">
        <v>291</v>
      </c>
      <c r="E19" s="2" t="s">
        <v>292</v>
      </c>
    </row>
    <row r="20" spans="1:5" x14ac:dyDescent="0.25">
      <c r="A20" s="2" t="s">
        <v>28</v>
      </c>
      <c r="B20" s="2" t="s">
        <v>29</v>
      </c>
      <c r="C20" s="2" t="s">
        <v>293</v>
      </c>
      <c r="D20" s="2" t="s">
        <v>294</v>
      </c>
      <c r="E20" s="2" t="s">
        <v>295</v>
      </c>
    </row>
    <row r="21" spans="1:5" x14ac:dyDescent="0.25">
      <c r="A21" s="2" t="s">
        <v>28</v>
      </c>
      <c r="B21" s="2" t="s">
        <v>29</v>
      </c>
      <c r="C21" s="2" t="s">
        <v>296</v>
      </c>
      <c r="D21" s="2" t="s">
        <v>297</v>
      </c>
      <c r="E21" s="2" t="s">
        <v>298</v>
      </c>
    </row>
    <row r="22" spans="1:5" x14ac:dyDescent="0.25">
      <c r="A22" s="2" t="s">
        <v>28</v>
      </c>
      <c r="B22" s="2" t="s">
        <v>29</v>
      </c>
      <c r="C22" s="2" t="s">
        <v>299</v>
      </c>
      <c r="D22" s="2" t="s">
        <v>300</v>
      </c>
      <c r="E22" s="2" t="s">
        <v>301</v>
      </c>
    </row>
    <row r="23" spans="1:5" x14ac:dyDescent="0.25">
      <c r="A23" s="2" t="s">
        <v>28</v>
      </c>
      <c r="B23" s="2" t="s">
        <v>29</v>
      </c>
      <c r="C23" s="2" t="s">
        <v>302</v>
      </c>
      <c r="D23" s="2" t="s">
        <v>303</v>
      </c>
      <c r="E23" s="2" t="s">
        <v>304</v>
      </c>
    </row>
    <row r="24" spans="1:5" x14ac:dyDescent="0.25">
      <c r="A24" s="2" t="s">
        <v>28</v>
      </c>
      <c r="B24" s="2" t="s">
        <v>29</v>
      </c>
      <c r="C24" s="2" t="s">
        <v>305</v>
      </c>
      <c r="D24" s="2" t="s">
        <v>306</v>
      </c>
      <c r="E24" s="2" t="s">
        <v>307</v>
      </c>
    </row>
    <row r="25" spans="1:5" x14ac:dyDescent="0.25">
      <c r="A25" s="2" t="s">
        <v>28</v>
      </c>
      <c r="B25" s="2" t="s">
        <v>29</v>
      </c>
      <c r="C25" s="2" t="s">
        <v>308</v>
      </c>
      <c r="D25" s="2" t="s">
        <v>309</v>
      </c>
      <c r="E25" s="2" t="s">
        <v>310</v>
      </c>
    </row>
    <row r="26" spans="1:5" x14ac:dyDescent="0.25">
      <c r="A26" s="2" t="s">
        <v>28</v>
      </c>
      <c r="B26" s="2" t="s">
        <v>29</v>
      </c>
      <c r="C26" s="2" t="s">
        <v>311</v>
      </c>
      <c r="D26" s="2" t="s">
        <v>312</v>
      </c>
      <c r="E26" s="2" t="s">
        <v>313</v>
      </c>
    </row>
    <row r="27" spans="1:5" x14ac:dyDescent="0.25">
      <c r="A27" s="2" t="s">
        <v>28</v>
      </c>
      <c r="B27" s="2" t="s">
        <v>29</v>
      </c>
      <c r="C27" s="2" t="s">
        <v>314</v>
      </c>
      <c r="D27" s="2" t="s">
        <v>315</v>
      </c>
      <c r="E27" s="2" t="s">
        <v>316</v>
      </c>
    </row>
    <row r="28" spans="1:5" x14ac:dyDescent="0.25">
      <c r="A28" s="2" t="s">
        <v>28</v>
      </c>
      <c r="B28" s="2" t="s">
        <v>29</v>
      </c>
      <c r="C28" s="2" t="s">
        <v>317</v>
      </c>
      <c r="D28" s="2" t="s">
        <v>318</v>
      </c>
      <c r="E28" s="2" t="s">
        <v>319</v>
      </c>
    </row>
    <row r="29" spans="1:5" x14ac:dyDescent="0.25">
      <c r="A29" s="2" t="s">
        <v>28</v>
      </c>
      <c r="B29" s="2" t="s">
        <v>29</v>
      </c>
      <c r="C29" s="2" t="s">
        <v>320</v>
      </c>
      <c r="D29" s="2" t="s">
        <v>321</v>
      </c>
      <c r="E29" s="2" t="s">
        <v>322</v>
      </c>
    </row>
    <row r="30" spans="1:5" x14ac:dyDescent="0.25">
      <c r="A30" s="2" t="s">
        <v>28</v>
      </c>
      <c r="B30" s="2" t="s">
        <v>29</v>
      </c>
      <c r="C30" s="2" t="s">
        <v>323</v>
      </c>
      <c r="D30" s="2" t="s">
        <v>324</v>
      </c>
      <c r="E30" s="2" t="s">
        <v>325</v>
      </c>
    </row>
    <row r="31" spans="1:5" x14ac:dyDescent="0.25">
      <c r="A31" s="2" t="s">
        <v>28</v>
      </c>
      <c r="B31" s="2" t="s">
        <v>29</v>
      </c>
      <c r="C31" s="2" t="s">
        <v>326</v>
      </c>
      <c r="D31" s="2" t="s">
        <v>327</v>
      </c>
      <c r="E31" s="2" t="s">
        <v>328</v>
      </c>
    </row>
    <row r="32" spans="1:5" x14ac:dyDescent="0.25">
      <c r="A32" s="2" t="s">
        <v>28</v>
      </c>
      <c r="B32" s="2" t="s">
        <v>29</v>
      </c>
      <c r="C32" s="2" t="s">
        <v>329</v>
      </c>
      <c r="D32" s="2" t="s">
        <v>330</v>
      </c>
      <c r="E32" s="2" t="s">
        <v>331</v>
      </c>
    </row>
    <row r="33" spans="1:5" x14ac:dyDescent="0.25">
      <c r="A33" s="2" t="s">
        <v>28</v>
      </c>
      <c r="B33" s="2" t="s">
        <v>29</v>
      </c>
      <c r="C33" s="2" t="s">
        <v>332</v>
      </c>
      <c r="D33" s="2" t="s">
        <v>333</v>
      </c>
      <c r="E33" s="2" t="s">
        <v>334</v>
      </c>
    </row>
    <row r="34" spans="1:5" x14ac:dyDescent="0.25">
      <c r="A34" s="2" t="s">
        <v>28</v>
      </c>
      <c r="B34" s="2" t="s">
        <v>29</v>
      </c>
      <c r="C34" s="2" t="s">
        <v>335</v>
      </c>
      <c r="D34" s="2" t="s">
        <v>336</v>
      </c>
      <c r="E34" s="2" t="s">
        <v>337</v>
      </c>
    </row>
    <row r="35" spans="1:5" x14ac:dyDescent="0.25">
      <c r="A35" s="2" t="s">
        <v>28</v>
      </c>
      <c r="B35" s="2" t="s">
        <v>29</v>
      </c>
      <c r="C35" s="2" t="s">
        <v>338</v>
      </c>
      <c r="D35" s="2" t="s">
        <v>339</v>
      </c>
      <c r="E35" s="2" t="s">
        <v>340</v>
      </c>
    </row>
    <row r="36" spans="1:5" x14ac:dyDescent="0.25">
      <c r="A36" s="2" t="s">
        <v>28</v>
      </c>
      <c r="B36" s="2" t="s">
        <v>29</v>
      </c>
      <c r="C36" s="2" t="s">
        <v>341</v>
      </c>
      <c r="D36" s="2" t="s">
        <v>342</v>
      </c>
      <c r="E36" s="2" t="s">
        <v>343</v>
      </c>
    </row>
    <row r="37" spans="1:5" x14ac:dyDescent="0.25">
      <c r="A37" s="2" t="s">
        <v>28</v>
      </c>
      <c r="B37" s="2" t="s">
        <v>29</v>
      </c>
      <c r="C37" s="2" t="s">
        <v>344</v>
      </c>
      <c r="D37" s="2" t="s">
        <v>345</v>
      </c>
      <c r="E37" s="2" t="s">
        <v>346</v>
      </c>
    </row>
    <row r="38" spans="1:5" x14ac:dyDescent="0.25">
      <c r="A38" s="2" t="s">
        <v>28</v>
      </c>
      <c r="B38" s="2" t="s">
        <v>29</v>
      </c>
      <c r="C38" s="2" t="s">
        <v>347</v>
      </c>
      <c r="D38" s="2" t="s">
        <v>348</v>
      </c>
      <c r="E38" s="2" t="s">
        <v>349</v>
      </c>
    </row>
    <row r="39" spans="1:5" x14ac:dyDescent="0.25">
      <c r="A39" s="2" t="s">
        <v>350</v>
      </c>
      <c r="B39" s="2" t="s">
        <v>32</v>
      </c>
      <c r="C39" s="2" t="s">
        <v>351</v>
      </c>
      <c r="D39" s="2" t="s">
        <v>352</v>
      </c>
      <c r="E39" s="2" t="s">
        <v>353</v>
      </c>
    </row>
    <row r="40" spans="1:5" x14ac:dyDescent="0.25">
      <c r="A40" s="2" t="s">
        <v>350</v>
      </c>
      <c r="B40" s="2" t="s">
        <v>42</v>
      </c>
      <c r="C40" s="2" t="s">
        <v>351</v>
      </c>
      <c r="D40" s="2" t="s">
        <v>354</v>
      </c>
      <c r="E40" s="2" t="s">
        <v>355</v>
      </c>
    </row>
    <row r="41" spans="1:5" x14ac:dyDescent="0.25">
      <c r="A41" s="2" t="s">
        <v>350</v>
      </c>
      <c r="B41" s="2" t="s">
        <v>29</v>
      </c>
      <c r="C41" s="2" t="s">
        <v>356</v>
      </c>
      <c r="D41" s="2" t="s">
        <v>357</v>
      </c>
      <c r="E41" s="2" t="s">
        <v>358</v>
      </c>
    </row>
    <row r="42" spans="1:5" x14ac:dyDescent="0.25">
      <c r="A42" s="2" t="s">
        <v>350</v>
      </c>
      <c r="B42" s="2" t="s">
        <v>29</v>
      </c>
      <c r="C42" s="2" t="s">
        <v>359</v>
      </c>
      <c r="D42" s="2" t="s">
        <v>360</v>
      </c>
      <c r="E42" s="2" t="s">
        <v>361</v>
      </c>
    </row>
    <row r="43" spans="1:5" x14ac:dyDescent="0.25">
      <c r="A43" s="2" t="s">
        <v>350</v>
      </c>
      <c r="B43" s="2" t="s">
        <v>29</v>
      </c>
      <c r="C43" s="2" t="s">
        <v>362</v>
      </c>
      <c r="D43" s="2" t="s">
        <v>363</v>
      </c>
      <c r="E43" s="2" t="s">
        <v>364</v>
      </c>
    </row>
    <row r="44" spans="1:5" x14ac:dyDescent="0.25">
      <c r="A44" s="2" t="s">
        <v>350</v>
      </c>
      <c r="B44" s="2" t="s">
        <v>29</v>
      </c>
      <c r="C44" s="2" t="s">
        <v>365</v>
      </c>
      <c r="D44" s="2" t="s">
        <v>366</v>
      </c>
      <c r="E44" s="2" t="s">
        <v>367</v>
      </c>
    </row>
    <row r="45" spans="1:5" x14ac:dyDescent="0.25">
      <c r="A45" s="2" t="s">
        <v>350</v>
      </c>
      <c r="B45" s="2" t="s">
        <v>29</v>
      </c>
      <c r="C45" s="2" t="s">
        <v>368</v>
      </c>
      <c r="D45" s="2" t="s">
        <v>369</v>
      </c>
      <c r="E45" s="2" t="s">
        <v>370</v>
      </c>
    </row>
    <row r="46" spans="1:5" x14ac:dyDescent="0.25">
      <c r="A46" s="2" t="s">
        <v>35</v>
      </c>
      <c r="B46" s="2" t="s">
        <v>32</v>
      </c>
      <c r="C46" s="2" t="s">
        <v>239</v>
      </c>
      <c r="D46" s="2" t="s">
        <v>371</v>
      </c>
      <c r="E46" s="2" t="s">
        <v>372</v>
      </c>
    </row>
    <row r="47" spans="1:5" x14ac:dyDescent="0.25">
      <c r="A47" s="2" t="s">
        <v>35</v>
      </c>
      <c r="B47" s="2" t="s">
        <v>32</v>
      </c>
      <c r="C47" s="2" t="s">
        <v>242</v>
      </c>
      <c r="D47" s="2" t="s">
        <v>373</v>
      </c>
      <c r="E47" s="2" t="s">
        <v>374</v>
      </c>
    </row>
    <row r="48" spans="1:5" x14ac:dyDescent="0.25">
      <c r="A48" s="2" t="s">
        <v>35</v>
      </c>
      <c r="B48" s="2" t="s">
        <v>32</v>
      </c>
      <c r="C48" s="2" t="s">
        <v>245</v>
      </c>
      <c r="D48" s="2" t="s">
        <v>375</v>
      </c>
      <c r="E48" s="2" t="s">
        <v>376</v>
      </c>
    </row>
    <row r="49" spans="1:5" x14ac:dyDescent="0.25">
      <c r="A49" s="2" t="s">
        <v>35</v>
      </c>
      <c r="B49" s="2" t="s">
        <v>32</v>
      </c>
      <c r="C49" s="2" t="s">
        <v>248</v>
      </c>
      <c r="D49" s="2" t="s">
        <v>377</v>
      </c>
      <c r="E49" s="2" t="s">
        <v>378</v>
      </c>
    </row>
    <row r="50" spans="1:5" x14ac:dyDescent="0.25">
      <c r="A50" s="2" t="s">
        <v>35</v>
      </c>
      <c r="B50" s="2" t="s">
        <v>42</v>
      </c>
      <c r="C50" s="2" t="s">
        <v>251</v>
      </c>
      <c r="D50" s="2" t="s">
        <v>379</v>
      </c>
      <c r="E50" s="2" t="s">
        <v>380</v>
      </c>
    </row>
    <row r="51" spans="1:5" x14ac:dyDescent="0.25">
      <c r="A51" s="2" t="s">
        <v>35</v>
      </c>
      <c r="B51" s="2" t="s">
        <v>42</v>
      </c>
      <c r="C51" s="2" t="s">
        <v>254</v>
      </c>
      <c r="D51" s="2" t="s">
        <v>381</v>
      </c>
      <c r="E51" s="2" t="s">
        <v>382</v>
      </c>
    </row>
    <row r="52" spans="1:5" x14ac:dyDescent="0.25">
      <c r="A52" s="2" t="s">
        <v>35</v>
      </c>
      <c r="B52" s="2" t="s">
        <v>42</v>
      </c>
      <c r="C52" s="2" t="s">
        <v>257</v>
      </c>
      <c r="D52" s="2" t="s">
        <v>383</v>
      </c>
      <c r="E52" s="2" t="s">
        <v>384</v>
      </c>
    </row>
    <row r="53" spans="1:5" x14ac:dyDescent="0.25">
      <c r="A53" s="2" t="s">
        <v>35</v>
      </c>
      <c r="B53" s="2" t="s">
        <v>42</v>
      </c>
      <c r="C53" s="2" t="s">
        <v>260</v>
      </c>
      <c r="D53" s="2" t="s">
        <v>385</v>
      </c>
      <c r="E53" s="2" t="s">
        <v>386</v>
      </c>
    </row>
    <row r="54" spans="1:5" x14ac:dyDescent="0.25">
      <c r="A54" s="2" t="s">
        <v>35</v>
      </c>
      <c r="B54" s="2" t="s">
        <v>42</v>
      </c>
      <c r="C54" s="2" t="s">
        <v>263</v>
      </c>
      <c r="D54" s="2" t="s">
        <v>387</v>
      </c>
      <c r="E54" s="2" t="s">
        <v>388</v>
      </c>
    </row>
    <row r="55" spans="1:5" x14ac:dyDescent="0.25">
      <c r="A55" s="2" t="s">
        <v>35</v>
      </c>
      <c r="B55" s="2" t="s">
        <v>42</v>
      </c>
      <c r="C55" s="2" t="s">
        <v>266</v>
      </c>
      <c r="D55" s="2" t="s">
        <v>389</v>
      </c>
      <c r="E55" s="2" t="s">
        <v>390</v>
      </c>
    </row>
    <row r="56" spans="1:5" x14ac:dyDescent="0.25">
      <c r="A56" s="2" t="s">
        <v>35</v>
      </c>
      <c r="B56" s="2" t="s">
        <v>42</v>
      </c>
      <c r="C56" s="2" t="s">
        <v>269</v>
      </c>
      <c r="D56" s="2" t="s">
        <v>391</v>
      </c>
      <c r="E56" s="2" t="s">
        <v>392</v>
      </c>
    </row>
    <row r="57" spans="1:5" x14ac:dyDescent="0.25">
      <c r="A57" s="2" t="s">
        <v>35</v>
      </c>
      <c r="B57" s="2" t="s">
        <v>42</v>
      </c>
      <c r="C57" s="2" t="s">
        <v>272</v>
      </c>
      <c r="D57" s="2" t="s">
        <v>393</v>
      </c>
      <c r="E57" s="2" t="s">
        <v>394</v>
      </c>
    </row>
    <row r="58" spans="1:5" x14ac:dyDescent="0.25">
      <c r="A58" s="2" t="s">
        <v>35</v>
      </c>
      <c r="B58" s="2" t="s">
        <v>42</v>
      </c>
      <c r="C58" s="2" t="s">
        <v>275</v>
      </c>
      <c r="D58" s="2" t="s">
        <v>395</v>
      </c>
      <c r="E58" s="2" t="s">
        <v>396</v>
      </c>
    </row>
    <row r="59" spans="1:5" x14ac:dyDescent="0.25">
      <c r="A59" s="2" t="s">
        <v>35</v>
      </c>
      <c r="B59" s="2" t="s">
        <v>42</v>
      </c>
      <c r="C59" s="2" t="s">
        <v>278</v>
      </c>
      <c r="D59" s="2" t="s">
        <v>397</v>
      </c>
      <c r="E59" s="2" t="s">
        <v>398</v>
      </c>
    </row>
    <row r="60" spans="1:5" x14ac:dyDescent="0.25">
      <c r="A60" s="2" t="s">
        <v>35</v>
      </c>
      <c r="B60" s="2" t="s">
        <v>42</v>
      </c>
      <c r="C60" s="2" t="s">
        <v>281</v>
      </c>
      <c r="D60" s="2" t="s">
        <v>399</v>
      </c>
      <c r="E60" s="2" t="s">
        <v>400</v>
      </c>
    </row>
    <row r="61" spans="1:5" x14ac:dyDescent="0.25">
      <c r="A61" s="2" t="s">
        <v>35</v>
      </c>
      <c r="B61" s="2" t="s">
        <v>42</v>
      </c>
      <c r="C61" s="2" t="s">
        <v>284</v>
      </c>
      <c r="D61" s="2" t="s">
        <v>401</v>
      </c>
      <c r="E61" s="2" t="s">
        <v>402</v>
      </c>
    </row>
    <row r="62" spans="1:5" x14ac:dyDescent="0.25">
      <c r="A62" s="2" t="s">
        <v>35</v>
      </c>
      <c r="B62" s="2" t="s">
        <v>29</v>
      </c>
      <c r="C62" s="2" t="s">
        <v>287</v>
      </c>
      <c r="D62" s="2" t="s">
        <v>403</v>
      </c>
      <c r="E62" s="2" t="s">
        <v>404</v>
      </c>
    </row>
    <row r="63" spans="1:5" x14ac:dyDescent="0.25">
      <c r="A63" s="2" t="s">
        <v>35</v>
      </c>
      <c r="B63" s="2" t="s">
        <v>29</v>
      </c>
      <c r="C63" s="2" t="s">
        <v>290</v>
      </c>
      <c r="D63" s="2" t="s">
        <v>405</v>
      </c>
      <c r="E63" s="2" t="s">
        <v>406</v>
      </c>
    </row>
    <row r="64" spans="1:5" x14ac:dyDescent="0.25">
      <c r="A64" s="2" t="s">
        <v>35</v>
      </c>
      <c r="B64" s="2" t="s">
        <v>29</v>
      </c>
      <c r="C64" s="2" t="s">
        <v>293</v>
      </c>
      <c r="D64" s="2" t="s">
        <v>407</v>
      </c>
      <c r="E64" s="2" t="s">
        <v>408</v>
      </c>
    </row>
    <row r="65" spans="1:5" x14ac:dyDescent="0.25">
      <c r="A65" s="2" t="s">
        <v>35</v>
      </c>
      <c r="B65" s="2" t="s">
        <v>29</v>
      </c>
      <c r="C65" s="2" t="s">
        <v>296</v>
      </c>
      <c r="D65" s="2" t="s">
        <v>409</v>
      </c>
      <c r="E65" s="2" t="s">
        <v>410</v>
      </c>
    </row>
    <row r="66" spans="1:5" x14ac:dyDescent="0.25">
      <c r="A66" s="2" t="s">
        <v>35</v>
      </c>
      <c r="B66" s="2" t="s">
        <v>29</v>
      </c>
      <c r="C66" s="2" t="s">
        <v>299</v>
      </c>
      <c r="D66" s="2" t="s">
        <v>411</v>
      </c>
      <c r="E66" s="2" t="s">
        <v>412</v>
      </c>
    </row>
    <row r="67" spans="1:5" x14ac:dyDescent="0.25">
      <c r="A67" s="2" t="s">
        <v>35</v>
      </c>
      <c r="B67" s="2" t="s">
        <v>29</v>
      </c>
      <c r="C67" s="2" t="s">
        <v>302</v>
      </c>
      <c r="D67" s="2" t="s">
        <v>413</v>
      </c>
      <c r="E67" s="2" t="s">
        <v>414</v>
      </c>
    </row>
    <row r="68" spans="1:5" x14ac:dyDescent="0.25">
      <c r="A68" s="2" t="s">
        <v>35</v>
      </c>
      <c r="B68" s="2" t="s">
        <v>29</v>
      </c>
      <c r="C68" s="2" t="s">
        <v>305</v>
      </c>
      <c r="D68" s="2" t="s">
        <v>415</v>
      </c>
      <c r="E68" s="2" t="s">
        <v>416</v>
      </c>
    </row>
    <row r="69" spans="1:5" x14ac:dyDescent="0.25">
      <c r="A69" s="2" t="s">
        <v>35</v>
      </c>
      <c r="B69" s="2" t="s">
        <v>29</v>
      </c>
      <c r="C69" s="2" t="s">
        <v>308</v>
      </c>
      <c r="D69" s="2" t="s">
        <v>417</v>
      </c>
      <c r="E69" s="2" t="s">
        <v>418</v>
      </c>
    </row>
    <row r="70" spans="1:5" x14ac:dyDescent="0.25">
      <c r="A70" s="2" t="s">
        <v>35</v>
      </c>
      <c r="B70" s="2" t="s">
        <v>29</v>
      </c>
      <c r="C70" s="2" t="s">
        <v>311</v>
      </c>
      <c r="D70" s="2" t="s">
        <v>419</v>
      </c>
      <c r="E70" s="2" t="s">
        <v>420</v>
      </c>
    </row>
    <row r="71" spans="1:5" x14ac:dyDescent="0.25">
      <c r="A71" s="2" t="s">
        <v>35</v>
      </c>
      <c r="B71" s="2" t="s">
        <v>29</v>
      </c>
      <c r="C71" s="2" t="s">
        <v>314</v>
      </c>
      <c r="D71" s="2" t="s">
        <v>421</v>
      </c>
      <c r="E71" s="2" t="s">
        <v>422</v>
      </c>
    </row>
    <row r="72" spans="1:5" x14ac:dyDescent="0.25">
      <c r="A72" s="2" t="s">
        <v>35</v>
      </c>
      <c r="B72" s="2" t="s">
        <v>29</v>
      </c>
      <c r="C72" s="2" t="s">
        <v>317</v>
      </c>
      <c r="D72" s="2" t="s">
        <v>423</v>
      </c>
      <c r="E72" s="2" t="s">
        <v>424</v>
      </c>
    </row>
    <row r="73" spans="1:5" x14ac:dyDescent="0.25">
      <c r="A73" s="2" t="s">
        <v>35</v>
      </c>
      <c r="B73" s="2" t="s">
        <v>29</v>
      </c>
      <c r="C73" s="2" t="s">
        <v>320</v>
      </c>
      <c r="D73" s="2" t="s">
        <v>425</v>
      </c>
      <c r="E73" s="2" t="s">
        <v>426</v>
      </c>
    </row>
    <row r="74" spans="1:5" x14ac:dyDescent="0.25">
      <c r="A74" s="2" t="s">
        <v>35</v>
      </c>
      <c r="B74" s="2" t="s">
        <v>29</v>
      </c>
      <c r="C74" s="2" t="s">
        <v>323</v>
      </c>
      <c r="D74" s="2" t="s">
        <v>427</v>
      </c>
      <c r="E74" s="2" t="s">
        <v>428</v>
      </c>
    </row>
    <row r="75" spans="1:5" x14ac:dyDescent="0.25">
      <c r="A75" s="2" t="s">
        <v>35</v>
      </c>
      <c r="B75" s="2" t="s">
        <v>29</v>
      </c>
      <c r="C75" s="2" t="s">
        <v>326</v>
      </c>
      <c r="D75" s="2" t="s">
        <v>429</v>
      </c>
      <c r="E75" s="2" t="s">
        <v>430</v>
      </c>
    </row>
    <row r="76" spans="1:5" x14ac:dyDescent="0.25">
      <c r="A76" s="2" t="s">
        <v>35</v>
      </c>
      <c r="B76" s="2" t="s">
        <v>29</v>
      </c>
      <c r="C76" s="2" t="s">
        <v>329</v>
      </c>
      <c r="D76" s="2" t="s">
        <v>431</v>
      </c>
      <c r="E76" s="2" t="s">
        <v>432</v>
      </c>
    </row>
    <row r="77" spans="1:5" x14ac:dyDescent="0.25">
      <c r="A77" s="2" t="s">
        <v>35</v>
      </c>
      <c r="B77" s="2" t="s">
        <v>29</v>
      </c>
      <c r="C77" s="2" t="s">
        <v>332</v>
      </c>
      <c r="D77" s="2" t="s">
        <v>433</v>
      </c>
      <c r="E77" s="2" t="s">
        <v>434</v>
      </c>
    </row>
    <row r="78" spans="1:5" x14ac:dyDescent="0.25">
      <c r="A78" s="2" t="s">
        <v>35</v>
      </c>
      <c r="B78" s="2" t="s">
        <v>29</v>
      </c>
      <c r="C78" s="2" t="s">
        <v>335</v>
      </c>
      <c r="D78" s="2" t="s">
        <v>435</v>
      </c>
      <c r="E78" s="2" t="s">
        <v>436</v>
      </c>
    </row>
    <row r="79" spans="1:5" x14ac:dyDescent="0.25">
      <c r="A79" s="2" t="s">
        <v>35</v>
      </c>
      <c r="B79" s="2" t="s">
        <v>29</v>
      </c>
      <c r="C79" s="2" t="s">
        <v>338</v>
      </c>
      <c r="D79" s="2" t="s">
        <v>437</v>
      </c>
      <c r="E79" s="2" t="s">
        <v>438</v>
      </c>
    </row>
    <row r="80" spans="1:5" x14ac:dyDescent="0.25">
      <c r="A80" s="2" t="s">
        <v>35</v>
      </c>
      <c r="B80" s="2" t="s">
        <v>29</v>
      </c>
      <c r="C80" s="2" t="s">
        <v>341</v>
      </c>
      <c r="D80" s="2" t="s">
        <v>439</v>
      </c>
      <c r="E80" s="2" t="s">
        <v>440</v>
      </c>
    </row>
    <row r="81" spans="1:5" x14ac:dyDescent="0.25">
      <c r="A81" s="2" t="s">
        <v>35</v>
      </c>
      <c r="B81" s="2" t="s">
        <v>29</v>
      </c>
      <c r="C81" s="2" t="s">
        <v>344</v>
      </c>
      <c r="D81" s="2" t="s">
        <v>441</v>
      </c>
      <c r="E81" s="2" t="s">
        <v>442</v>
      </c>
    </row>
    <row r="82" spans="1:5" x14ac:dyDescent="0.25">
      <c r="A82" s="2" t="s">
        <v>35</v>
      </c>
      <c r="B82" s="2" t="s">
        <v>29</v>
      </c>
      <c r="C82" s="2" t="s">
        <v>347</v>
      </c>
      <c r="D82" s="2" t="s">
        <v>443</v>
      </c>
      <c r="E82" s="2" t="s">
        <v>444</v>
      </c>
    </row>
    <row r="83" spans="1:5" x14ac:dyDescent="0.25">
      <c r="A83" s="2" t="s">
        <v>37</v>
      </c>
      <c r="B83" s="2" t="s">
        <v>32</v>
      </c>
      <c r="C83" s="2" t="s">
        <v>445</v>
      </c>
      <c r="D83" s="2" t="s">
        <v>446</v>
      </c>
      <c r="E83" s="2" t="s">
        <v>447</v>
      </c>
    </row>
    <row r="84" spans="1:5" x14ac:dyDescent="0.25">
      <c r="A84" s="2" t="s">
        <v>37</v>
      </c>
      <c r="B84" s="2" t="s">
        <v>32</v>
      </c>
      <c r="C84" s="2" t="s">
        <v>448</v>
      </c>
      <c r="D84" s="2" t="s">
        <v>449</v>
      </c>
      <c r="E84" s="2" t="s">
        <v>450</v>
      </c>
    </row>
    <row r="85" spans="1:5" x14ac:dyDescent="0.25">
      <c r="A85" s="2" t="s">
        <v>37</v>
      </c>
      <c r="B85" s="2" t="s">
        <v>32</v>
      </c>
      <c r="C85" s="2" t="s">
        <v>451</v>
      </c>
      <c r="D85" s="2" t="s">
        <v>452</v>
      </c>
      <c r="E85" s="2" t="s">
        <v>453</v>
      </c>
    </row>
    <row r="86" spans="1:5" x14ac:dyDescent="0.25">
      <c r="A86" s="2" t="s">
        <v>37</v>
      </c>
      <c r="B86" s="2" t="s">
        <v>32</v>
      </c>
      <c r="C86" s="2" t="s">
        <v>454</v>
      </c>
      <c r="D86" s="2" t="s">
        <v>455</v>
      </c>
      <c r="E86" s="2" t="s">
        <v>456</v>
      </c>
    </row>
    <row r="87" spans="1:5" x14ac:dyDescent="0.25">
      <c r="A87" s="2" t="s">
        <v>37</v>
      </c>
      <c r="B87" s="2" t="s">
        <v>32</v>
      </c>
      <c r="C87" s="2" t="s">
        <v>457</v>
      </c>
      <c r="D87" s="2" t="s">
        <v>458</v>
      </c>
      <c r="E87" s="2" t="s">
        <v>459</v>
      </c>
    </row>
    <row r="88" spans="1:5" x14ac:dyDescent="0.25">
      <c r="A88" s="2" t="s">
        <v>37</v>
      </c>
      <c r="B88" s="2" t="s">
        <v>32</v>
      </c>
      <c r="C88" s="2" t="s">
        <v>460</v>
      </c>
      <c r="D88" s="2" t="s">
        <v>461</v>
      </c>
      <c r="E88" s="2" t="s">
        <v>462</v>
      </c>
    </row>
    <row r="89" spans="1:5" x14ac:dyDescent="0.25">
      <c r="A89" s="2" t="s">
        <v>37</v>
      </c>
      <c r="B89" s="2" t="s">
        <v>32</v>
      </c>
      <c r="C89" s="2" t="s">
        <v>463</v>
      </c>
      <c r="D89" s="2" t="s">
        <v>464</v>
      </c>
      <c r="E89" s="2" t="s">
        <v>465</v>
      </c>
    </row>
    <row r="90" spans="1:5" x14ac:dyDescent="0.25">
      <c r="A90" s="2" t="s">
        <v>37</v>
      </c>
      <c r="B90" s="2" t="s">
        <v>32</v>
      </c>
      <c r="C90" s="2" t="s">
        <v>466</v>
      </c>
      <c r="D90" s="2" t="s">
        <v>467</v>
      </c>
      <c r="E90" s="2" t="s">
        <v>468</v>
      </c>
    </row>
    <row r="91" spans="1:5" x14ac:dyDescent="0.25">
      <c r="A91" s="2" t="s">
        <v>37</v>
      </c>
      <c r="B91" s="2" t="s">
        <v>32</v>
      </c>
      <c r="C91" s="2" t="s">
        <v>239</v>
      </c>
      <c r="D91" s="2" t="s">
        <v>469</v>
      </c>
      <c r="E91" s="2" t="s">
        <v>470</v>
      </c>
    </row>
    <row r="92" spans="1:5" x14ac:dyDescent="0.25">
      <c r="A92" s="2" t="s">
        <v>37</v>
      </c>
      <c r="B92" s="2" t="s">
        <v>32</v>
      </c>
      <c r="C92" s="2" t="s">
        <v>242</v>
      </c>
      <c r="D92" s="2" t="s">
        <v>471</v>
      </c>
      <c r="E92" s="2" t="s">
        <v>472</v>
      </c>
    </row>
    <row r="93" spans="1:5" x14ac:dyDescent="0.25">
      <c r="A93" s="2" t="s">
        <v>37</v>
      </c>
      <c r="B93" s="2" t="s">
        <v>32</v>
      </c>
      <c r="C93" s="2" t="s">
        <v>245</v>
      </c>
      <c r="D93" s="2" t="s">
        <v>473</v>
      </c>
      <c r="E93" s="2" t="s">
        <v>474</v>
      </c>
    </row>
    <row r="94" spans="1:5" x14ac:dyDescent="0.25">
      <c r="A94" s="2" t="s">
        <v>37</v>
      </c>
      <c r="B94" s="2" t="s">
        <v>32</v>
      </c>
      <c r="C94" s="2" t="s">
        <v>248</v>
      </c>
      <c r="D94" s="2" t="s">
        <v>475</v>
      </c>
      <c r="E94" s="2" t="s">
        <v>476</v>
      </c>
    </row>
    <row r="95" spans="1:5" x14ac:dyDescent="0.25">
      <c r="A95" s="2" t="s">
        <v>37</v>
      </c>
      <c r="B95" s="2" t="s">
        <v>32</v>
      </c>
      <c r="C95" s="2" t="s">
        <v>477</v>
      </c>
      <c r="D95" s="2" t="s">
        <v>478</v>
      </c>
      <c r="E95" s="2" t="s">
        <v>479</v>
      </c>
    </row>
    <row r="96" spans="1:5" x14ac:dyDescent="0.25">
      <c r="A96" s="2" t="s">
        <v>37</v>
      </c>
      <c r="B96" s="2" t="s">
        <v>32</v>
      </c>
      <c r="C96" s="2" t="s">
        <v>480</v>
      </c>
      <c r="D96" s="2" t="s">
        <v>481</v>
      </c>
      <c r="E96" s="2" t="s">
        <v>482</v>
      </c>
    </row>
    <row r="97" spans="1:5" x14ac:dyDescent="0.25">
      <c r="A97" s="2" t="s">
        <v>37</v>
      </c>
      <c r="B97" s="2" t="s">
        <v>32</v>
      </c>
      <c r="C97" s="2" t="s">
        <v>483</v>
      </c>
      <c r="D97" s="2" t="s">
        <v>484</v>
      </c>
      <c r="E97" s="2" t="s">
        <v>485</v>
      </c>
    </row>
    <row r="98" spans="1:5" x14ac:dyDescent="0.25">
      <c r="A98" s="2" t="s">
        <v>37</v>
      </c>
      <c r="B98" s="2" t="s">
        <v>32</v>
      </c>
      <c r="C98" s="2" t="s">
        <v>486</v>
      </c>
      <c r="D98" s="2" t="s">
        <v>487</v>
      </c>
      <c r="E98" s="2" t="s">
        <v>488</v>
      </c>
    </row>
    <row r="99" spans="1:5" x14ac:dyDescent="0.25">
      <c r="A99" s="2" t="s">
        <v>37</v>
      </c>
      <c r="B99" s="2" t="s">
        <v>42</v>
      </c>
      <c r="C99" s="2" t="s">
        <v>251</v>
      </c>
      <c r="D99" s="2" t="s">
        <v>489</v>
      </c>
      <c r="E99" s="2" t="s">
        <v>490</v>
      </c>
    </row>
    <row r="100" spans="1:5" x14ac:dyDescent="0.25">
      <c r="A100" s="2" t="s">
        <v>37</v>
      </c>
      <c r="B100" s="2" t="s">
        <v>42</v>
      </c>
      <c r="C100" s="2" t="s">
        <v>254</v>
      </c>
      <c r="D100" s="2" t="s">
        <v>491</v>
      </c>
      <c r="E100" s="2" t="s">
        <v>492</v>
      </c>
    </row>
    <row r="101" spans="1:5" x14ac:dyDescent="0.25">
      <c r="A101" s="2" t="s">
        <v>37</v>
      </c>
      <c r="B101" s="2" t="s">
        <v>42</v>
      </c>
      <c r="C101" s="2" t="s">
        <v>257</v>
      </c>
      <c r="D101" s="2" t="s">
        <v>493</v>
      </c>
      <c r="E101" s="2" t="s">
        <v>494</v>
      </c>
    </row>
    <row r="102" spans="1:5" x14ac:dyDescent="0.25">
      <c r="A102" s="2" t="s">
        <v>37</v>
      </c>
      <c r="B102" s="2" t="s">
        <v>42</v>
      </c>
      <c r="C102" s="2" t="s">
        <v>260</v>
      </c>
      <c r="D102" s="2" t="s">
        <v>495</v>
      </c>
      <c r="E102" s="2" t="s">
        <v>496</v>
      </c>
    </row>
    <row r="103" spans="1:5" x14ac:dyDescent="0.25">
      <c r="A103" s="2" t="s">
        <v>37</v>
      </c>
      <c r="B103" s="2" t="s">
        <v>42</v>
      </c>
      <c r="C103" s="2" t="s">
        <v>263</v>
      </c>
      <c r="D103" s="2" t="s">
        <v>497</v>
      </c>
      <c r="E103" s="2" t="s">
        <v>498</v>
      </c>
    </row>
    <row r="104" spans="1:5" x14ac:dyDescent="0.25">
      <c r="A104" s="2" t="s">
        <v>37</v>
      </c>
      <c r="B104" s="2" t="s">
        <v>42</v>
      </c>
      <c r="C104" s="2" t="s">
        <v>266</v>
      </c>
      <c r="D104" s="2" t="s">
        <v>499</v>
      </c>
      <c r="E104" s="2" t="s">
        <v>500</v>
      </c>
    </row>
    <row r="105" spans="1:5" x14ac:dyDescent="0.25">
      <c r="A105" s="2" t="s">
        <v>37</v>
      </c>
      <c r="B105" s="2" t="s">
        <v>42</v>
      </c>
      <c r="C105" s="2" t="s">
        <v>269</v>
      </c>
      <c r="D105" s="2" t="s">
        <v>501</v>
      </c>
      <c r="E105" s="2" t="s">
        <v>502</v>
      </c>
    </row>
    <row r="106" spans="1:5" x14ac:dyDescent="0.25">
      <c r="A106" s="2" t="s">
        <v>37</v>
      </c>
      <c r="B106" s="2" t="s">
        <v>42</v>
      </c>
      <c r="C106" s="2" t="s">
        <v>272</v>
      </c>
      <c r="D106" s="2" t="s">
        <v>503</v>
      </c>
      <c r="E106" s="2" t="s">
        <v>504</v>
      </c>
    </row>
    <row r="107" spans="1:5" x14ac:dyDescent="0.25">
      <c r="A107" s="2" t="s">
        <v>37</v>
      </c>
      <c r="B107" s="2" t="s">
        <v>42</v>
      </c>
      <c r="C107" s="2" t="s">
        <v>275</v>
      </c>
      <c r="D107" s="2" t="s">
        <v>505</v>
      </c>
      <c r="E107" s="2" t="s">
        <v>506</v>
      </c>
    </row>
    <row r="108" spans="1:5" x14ac:dyDescent="0.25">
      <c r="A108" s="2" t="s">
        <v>37</v>
      </c>
      <c r="B108" s="2" t="s">
        <v>42</v>
      </c>
      <c r="C108" s="2" t="s">
        <v>278</v>
      </c>
      <c r="D108" s="2" t="s">
        <v>507</v>
      </c>
      <c r="E108" s="2" t="s">
        <v>508</v>
      </c>
    </row>
    <row r="109" spans="1:5" x14ac:dyDescent="0.25">
      <c r="A109" s="2" t="s">
        <v>37</v>
      </c>
      <c r="B109" s="2" t="s">
        <v>42</v>
      </c>
      <c r="C109" s="2" t="s">
        <v>281</v>
      </c>
      <c r="D109" s="2" t="s">
        <v>509</v>
      </c>
      <c r="E109" s="2" t="s">
        <v>510</v>
      </c>
    </row>
    <row r="110" spans="1:5" x14ac:dyDescent="0.25">
      <c r="A110" s="2" t="s">
        <v>37</v>
      </c>
      <c r="B110" s="2" t="s">
        <v>42</v>
      </c>
      <c r="C110" s="2" t="s">
        <v>284</v>
      </c>
      <c r="D110" s="2" t="s">
        <v>511</v>
      </c>
      <c r="E110" s="2" t="s">
        <v>512</v>
      </c>
    </row>
    <row r="111" spans="1:5" x14ac:dyDescent="0.25">
      <c r="A111" s="2" t="s">
        <v>37</v>
      </c>
      <c r="B111" s="2" t="s">
        <v>42</v>
      </c>
      <c r="C111" s="2" t="s">
        <v>513</v>
      </c>
      <c r="D111" s="2" t="s">
        <v>514</v>
      </c>
      <c r="E111" s="2" t="s">
        <v>515</v>
      </c>
    </row>
    <row r="112" spans="1:5" x14ac:dyDescent="0.25">
      <c r="A112" s="2" t="s">
        <v>37</v>
      </c>
      <c r="B112" s="2" t="s">
        <v>42</v>
      </c>
      <c r="C112" s="2" t="s">
        <v>516</v>
      </c>
      <c r="D112" s="2" t="s">
        <v>517</v>
      </c>
      <c r="E112" s="2" t="s">
        <v>518</v>
      </c>
    </row>
    <row r="113" spans="1:5" x14ac:dyDescent="0.25">
      <c r="A113" s="2" t="s">
        <v>37</v>
      </c>
      <c r="B113" s="2" t="s">
        <v>42</v>
      </c>
      <c r="C113" s="2" t="s">
        <v>519</v>
      </c>
      <c r="D113" s="2" t="s">
        <v>520</v>
      </c>
      <c r="E113" s="2" t="s">
        <v>521</v>
      </c>
    </row>
    <row r="114" spans="1:5" x14ac:dyDescent="0.25">
      <c r="A114" s="2" t="s">
        <v>37</v>
      </c>
      <c r="B114" s="2" t="s">
        <v>42</v>
      </c>
      <c r="C114" s="2" t="s">
        <v>522</v>
      </c>
      <c r="D114" s="2" t="s">
        <v>523</v>
      </c>
      <c r="E114" s="2" t="s">
        <v>524</v>
      </c>
    </row>
    <row r="115" spans="1:5" x14ac:dyDescent="0.25">
      <c r="A115" s="2" t="s">
        <v>37</v>
      </c>
      <c r="B115" s="2" t="s">
        <v>42</v>
      </c>
      <c r="C115" s="2" t="s">
        <v>525</v>
      </c>
      <c r="D115" s="2" t="s">
        <v>526</v>
      </c>
      <c r="E115" s="2" t="s">
        <v>527</v>
      </c>
    </row>
    <row r="116" spans="1:5" x14ac:dyDescent="0.25">
      <c r="A116" s="2" t="s">
        <v>37</v>
      </c>
      <c r="B116" s="2" t="s">
        <v>42</v>
      </c>
      <c r="C116" s="2" t="s">
        <v>528</v>
      </c>
      <c r="D116" s="2" t="s">
        <v>529</v>
      </c>
      <c r="E116" s="2" t="s">
        <v>530</v>
      </c>
    </row>
    <row r="117" spans="1:5" x14ac:dyDescent="0.25">
      <c r="A117" s="2" t="s">
        <v>37</v>
      </c>
      <c r="B117" s="2" t="s">
        <v>42</v>
      </c>
      <c r="C117" s="2" t="s">
        <v>531</v>
      </c>
      <c r="D117" s="2" t="s">
        <v>532</v>
      </c>
      <c r="E117" s="2" t="s">
        <v>533</v>
      </c>
    </row>
    <row r="118" spans="1:5" x14ac:dyDescent="0.25">
      <c r="A118" s="2" t="s">
        <v>37</v>
      </c>
      <c r="B118" s="2" t="s">
        <v>42</v>
      </c>
      <c r="C118" s="2" t="s">
        <v>534</v>
      </c>
      <c r="D118" s="2" t="s">
        <v>535</v>
      </c>
      <c r="E118" s="2" t="s">
        <v>536</v>
      </c>
    </row>
    <row r="119" spans="1:5" x14ac:dyDescent="0.25">
      <c r="A119" s="2" t="s">
        <v>37</v>
      </c>
      <c r="B119" s="2" t="s">
        <v>29</v>
      </c>
      <c r="C119" s="2" t="s">
        <v>287</v>
      </c>
      <c r="D119" s="2" t="s">
        <v>537</v>
      </c>
      <c r="E119" s="2" t="s">
        <v>538</v>
      </c>
    </row>
    <row r="120" spans="1:5" x14ac:dyDescent="0.25">
      <c r="A120" s="2" t="s">
        <v>37</v>
      </c>
      <c r="B120" s="2" t="s">
        <v>29</v>
      </c>
      <c r="C120" s="2" t="s">
        <v>290</v>
      </c>
      <c r="D120" s="2" t="s">
        <v>539</v>
      </c>
      <c r="E120" s="2" t="s">
        <v>540</v>
      </c>
    </row>
    <row r="121" spans="1:5" x14ac:dyDescent="0.25">
      <c r="A121" s="2" t="s">
        <v>37</v>
      </c>
      <c r="B121" s="2" t="s">
        <v>29</v>
      </c>
      <c r="C121" s="2" t="s">
        <v>293</v>
      </c>
      <c r="D121" s="2" t="s">
        <v>541</v>
      </c>
      <c r="E121" s="2" t="s">
        <v>542</v>
      </c>
    </row>
    <row r="122" spans="1:5" x14ac:dyDescent="0.25">
      <c r="A122" s="2" t="s">
        <v>37</v>
      </c>
      <c r="B122" s="2" t="s">
        <v>29</v>
      </c>
      <c r="C122" s="2" t="s">
        <v>296</v>
      </c>
      <c r="D122" s="2" t="s">
        <v>543</v>
      </c>
      <c r="E122" s="2" t="s">
        <v>544</v>
      </c>
    </row>
    <row r="123" spans="1:5" x14ac:dyDescent="0.25">
      <c r="A123" s="2" t="s">
        <v>37</v>
      </c>
      <c r="B123" s="2" t="s">
        <v>29</v>
      </c>
      <c r="C123" s="2" t="s">
        <v>299</v>
      </c>
      <c r="D123" s="2" t="s">
        <v>545</v>
      </c>
      <c r="E123" s="2" t="s">
        <v>546</v>
      </c>
    </row>
    <row r="124" spans="1:5" x14ac:dyDescent="0.25">
      <c r="A124" s="2" t="s">
        <v>37</v>
      </c>
      <c r="B124" s="2" t="s">
        <v>29</v>
      </c>
      <c r="C124" s="2" t="s">
        <v>302</v>
      </c>
      <c r="D124" s="2" t="s">
        <v>547</v>
      </c>
      <c r="E124" s="2" t="s">
        <v>548</v>
      </c>
    </row>
    <row r="125" spans="1:5" x14ac:dyDescent="0.25">
      <c r="A125" s="2" t="s">
        <v>37</v>
      </c>
      <c r="B125" s="2" t="s">
        <v>29</v>
      </c>
      <c r="C125" s="2" t="s">
        <v>305</v>
      </c>
      <c r="D125" s="2" t="s">
        <v>549</v>
      </c>
      <c r="E125" s="2" t="s">
        <v>550</v>
      </c>
    </row>
    <row r="126" spans="1:5" x14ac:dyDescent="0.25">
      <c r="A126" s="2" t="s">
        <v>37</v>
      </c>
      <c r="B126" s="2" t="s">
        <v>29</v>
      </c>
      <c r="C126" s="2" t="s">
        <v>308</v>
      </c>
      <c r="D126" s="2" t="s">
        <v>551</v>
      </c>
      <c r="E126" s="2" t="s">
        <v>552</v>
      </c>
    </row>
    <row r="127" spans="1:5" x14ac:dyDescent="0.25">
      <c r="A127" s="2" t="s">
        <v>37</v>
      </c>
      <c r="B127" s="2" t="s">
        <v>29</v>
      </c>
      <c r="C127" s="2" t="s">
        <v>311</v>
      </c>
      <c r="D127" s="2" t="s">
        <v>553</v>
      </c>
      <c r="E127" s="2" t="s">
        <v>554</v>
      </c>
    </row>
    <row r="128" spans="1:5" x14ac:dyDescent="0.25">
      <c r="A128" s="2" t="s">
        <v>37</v>
      </c>
      <c r="B128" s="2" t="s">
        <v>29</v>
      </c>
      <c r="C128" s="2" t="s">
        <v>314</v>
      </c>
      <c r="D128" s="2" t="s">
        <v>555</v>
      </c>
      <c r="E128" s="2" t="s">
        <v>556</v>
      </c>
    </row>
    <row r="129" spans="1:5" x14ac:dyDescent="0.25">
      <c r="A129" s="2" t="s">
        <v>37</v>
      </c>
      <c r="B129" s="2" t="s">
        <v>29</v>
      </c>
      <c r="C129" s="2" t="s">
        <v>317</v>
      </c>
      <c r="D129" s="2" t="s">
        <v>557</v>
      </c>
      <c r="E129" s="2" t="s">
        <v>558</v>
      </c>
    </row>
    <row r="130" spans="1:5" x14ac:dyDescent="0.25">
      <c r="A130" s="2" t="s">
        <v>37</v>
      </c>
      <c r="B130" s="2" t="s">
        <v>29</v>
      </c>
      <c r="C130" s="2" t="s">
        <v>320</v>
      </c>
      <c r="D130" s="2" t="s">
        <v>559</v>
      </c>
      <c r="E130" s="2" t="s">
        <v>560</v>
      </c>
    </row>
    <row r="131" spans="1:5" x14ac:dyDescent="0.25">
      <c r="A131" s="2" t="s">
        <v>37</v>
      </c>
      <c r="B131" s="2" t="s">
        <v>29</v>
      </c>
      <c r="C131" s="2" t="s">
        <v>323</v>
      </c>
      <c r="D131" s="2" t="s">
        <v>561</v>
      </c>
      <c r="E131" s="2" t="s">
        <v>562</v>
      </c>
    </row>
    <row r="132" spans="1:5" x14ac:dyDescent="0.25">
      <c r="A132" s="2" t="s">
        <v>37</v>
      </c>
      <c r="B132" s="2" t="s">
        <v>29</v>
      </c>
      <c r="C132" s="2" t="s">
        <v>326</v>
      </c>
      <c r="D132" s="2" t="s">
        <v>563</v>
      </c>
      <c r="E132" s="2" t="s">
        <v>564</v>
      </c>
    </row>
    <row r="133" spans="1:5" x14ac:dyDescent="0.25">
      <c r="A133" s="2" t="s">
        <v>37</v>
      </c>
      <c r="B133" s="2" t="s">
        <v>29</v>
      </c>
      <c r="C133" s="2" t="s">
        <v>329</v>
      </c>
      <c r="D133" s="2" t="s">
        <v>565</v>
      </c>
      <c r="E133" s="2" t="s">
        <v>566</v>
      </c>
    </row>
    <row r="134" spans="1:5" x14ac:dyDescent="0.25">
      <c r="A134" s="2" t="s">
        <v>37</v>
      </c>
      <c r="B134" s="2" t="s">
        <v>29</v>
      </c>
      <c r="C134" s="2" t="s">
        <v>332</v>
      </c>
      <c r="D134" s="2" t="s">
        <v>567</v>
      </c>
      <c r="E134" s="2" t="s">
        <v>568</v>
      </c>
    </row>
    <row r="135" spans="1:5" x14ac:dyDescent="0.25">
      <c r="A135" s="2" t="s">
        <v>37</v>
      </c>
      <c r="B135" s="2" t="s">
        <v>29</v>
      </c>
      <c r="C135" s="2" t="s">
        <v>335</v>
      </c>
      <c r="D135" s="2" t="s">
        <v>569</v>
      </c>
      <c r="E135" s="2" t="s">
        <v>570</v>
      </c>
    </row>
    <row r="136" spans="1:5" x14ac:dyDescent="0.25">
      <c r="A136" s="2" t="s">
        <v>37</v>
      </c>
      <c r="B136" s="2" t="s">
        <v>29</v>
      </c>
      <c r="C136" s="2" t="s">
        <v>338</v>
      </c>
      <c r="D136" s="2" t="s">
        <v>571</v>
      </c>
      <c r="E136" s="2" t="s">
        <v>572</v>
      </c>
    </row>
    <row r="137" spans="1:5" x14ac:dyDescent="0.25">
      <c r="A137" s="2" t="s">
        <v>37</v>
      </c>
      <c r="B137" s="2" t="s">
        <v>29</v>
      </c>
      <c r="C137" s="2" t="s">
        <v>341</v>
      </c>
      <c r="D137" s="2" t="s">
        <v>573</v>
      </c>
      <c r="E137" s="2" t="s">
        <v>574</v>
      </c>
    </row>
    <row r="138" spans="1:5" x14ac:dyDescent="0.25">
      <c r="A138" s="2" t="s">
        <v>37</v>
      </c>
      <c r="B138" s="2" t="s">
        <v>29</v>
      </c>
      <c r="C138" s="2" t="s">
        <v>344</v>
      </c>
      <c r="D138" s="2" t="s">
        <v>575</v>
      </c>
      <c r="E138" s="2" t="s">
        <v>576</v>
      </c>
    </row>
    <row r="139" spans="1:5" x14ac:dyDescent="0.25">
      <c r="A139" s="2" t="s">
        <v>37</v>
      </c>
      <c r="B139" s="2" t="s">
        <v>29</v>
      </c>
      <c r="C139" s="2" t="s">
        <v>347</v>
      </c>
      <c r="D139" s="2" t="s">
        <v>577</v>
      </c>
      <c r="E139" s="2" t="s">
        <v>578</v>
      </c>
    </row>
    <row r="140" spans="1:5" x14ac:dyDescent="0.25">
      <c r="A140" s="2" t="s">
        <v>155</v>
      </c>
      <c r="B140" s="2" t="s">
        <v>32</v>
      </c>
      <c r="C140" s="2" t="s">
        <v>239</v>
      </c>
      <c r="D140" s="2" t="s">
        <v>579</v>
      </c>
      <c r="E140" s="2" t="s">
        <v>580</v>
      </c>
    </row>
    <row r="141" spans="1:5" x14ac:dyDescent="0.25">
      <c r="A141" s="2" t="s">
        <v>155</v>
      </c>
      <c r="B141" s="2" t="s">
        <v>32</v>
      </c>
      <c r="C141" s="2" t="s">
        <v>242</v>
      </c>
      <c r="D141" s="2" t="s">
        <v>581</v>
      </c>
      <c r="E141" s="2" t="s">
        <v>582</v>
      </c>
    </row>
    <row r="142" spans="1:5" x14ac:dyDescent="0.25">
      <c r="A142" s="2" t="s">
        <v>155</v>
      </c>
      <c r="B142" s="2" t="s">
        <v>32</v>
      </c>
      <c r="C142" s="2" t="s">
        <v>245</v>
      </c>
      <c r="D142" s="2" t="s">
        <v>583</v>
      </c>
      <c r="E142" s="2" t="s">
        <v>584</v>
      </c>
    </row>
    <row r="143" spans="1:5" x14ac:dyDescent="0.25">
      <c r="A143" s="2" t="s">
        <v>155</v>
      </c>
      <c r="B143" s="2" t="s">
        <v>32</v>
      </c>
      <c r="C143" s="2" t="s">
        <v>248</v>
      </c>
      <c r="D143" s="2" t="s">
        <v>585</v>
      </c>
      <c r="E143" s="2" t="s">
        <v>586</v>
      </c>
    </row>
    <row r="144" spans="1:5" x14ac:dyDescent="0.25">
      <c r="A144" s="2" t="s">
        <v>155</v>
      </c>
      <c r="B144" s="2" t="s">
        <v>42</v>
      </c>
      <c r="C144" s="2" t="s">
        <v>251</v>
      </c>
      <c r="D144" s="2" t="s">
        <v>587</v>
      </c>
      <c r="E144" s="2" t="s">
        <v>588</v>
      </c>
    </row>
    <row r="145" spans="1:5" x14ac:dyDescent="0.25">
      <c r="A145" s="2" t="s">
        <v>155</v>
      </c>
      <c r="B145" s="2" t="s">
        <v>42</v>
      </c>
      <c r="C145" s="2" t="s">
        <v>254</v>
      </c>
      <c r="D145" s="2" t="s">
        <v>589</v>
      </c>
      <c r="E145" s="2" t="s">
        <v>590</v>
      </c>
    </row>
    <row r="146" spans="1:5" x14ac:dyDescent="0.25">
      <c r="A146" s="2" t="s">
        <v>155</v>
      </c>
      <c r="B146" s="2" t="s">
        <v>42</v>
      </c>
      <c r="C146" s="2" t="s">
        <v>257</v>
      </c>
      <c r="D146" s="2" t="s">
        <v>591</v>
      </c>
      <c r="E146" s="2" t="s">
        <v>592</v>
      </c>
    </row>
    <row r="147" spans="1:5" x14ac:dyDescent="0.25">
      <c r="A147" s="2" t="s">
        <v>155</v>
      </c>
      <c r="B147" s="2" t="s">
        <v>42</v>
      </c>
      <c r="C147" s="2" t="s">
        <v>260</v>
      </c>
      <c r="D147" s="2" t="s">
        <v>593</v>
      </c>
      <c r="E147" s="2" t="s">
        <v>594</v>
      </c>
    </row>
    <row r="148" spans="1:5" x14ac:dyDescent="0.25">
      <c r="A148" s="2" t="s">
        <v>155</v>
      </c>
      <c r="B148" s="2" t="s">
        <v>42</v>
      </c>
      <c r="C148" s="2" t="s">
        <v>263</v>
      </c>
      <c r="D148" s="2" t="s">
        <v>595</v>
      </c>
      <c r="E148" s="2" t="s">
        <v>596</v>
      </c>
    </row>
    <row r="149" spans="1:5" x14ac:dyDescent="0.25">
      <c r="A149" s="2" t="s">
        <v>155</v>
      </c>
      <c r="B149" s="2" t="s">
        <v>42</v>
      </c>
      <c r="C149" s="2" t="s">
        <v>266</v>
      </c>
      <c r="D149" s="2" t="s">
        <v>597</v>
      </c>
      <c r="E149" s="2" t="s">
        <v>598</v>
      </c>
    </row>
    <row r="150" spans="1:5" x14ac:dyDescent="0.25">
      <c r="A150" s="2" t="s">
        <v>155</v>
      </c>
      <c r="B150" s="2" t="s">
        <v>42</v>
      </c>
      <c r="C150" s="2" t="s">
        <v>269</v>
      </c>
      <c r="D150" s="2" t="s">
        <v>599</v>
      </c>
      <c r="E150" s="2" t="s">
        <v>600</v>
      </c>
    </row>
    <row r="151" spans="1:5" x14ac:dyDescent="0.25">
      <c r="A151" s="2" t="s">
        <v>155</v>
      </c>
      <c r="B151" s="2" t="s">
        <v>42</v>
      </c>
      <c r="C151" s="2" t="s">
        <v>272</v>
      </c>
      <c r="D151" s="2" t="s">
        <v>601</v>
      </c>
      <c r="E151" s="2" t="s">
        <v>602</v>
      </c>
    </row>
    <row r="152" spans="1:5" x14ac:dyDescent="0.25">
      <c r="A152" s="2" t="s">
        <v>155</v>
      </c>
      <c r="B152" s="2" t="s">
        <v>42</v>
      </c>
      <c r="C152" s="2" t="s">
        <v>275</v>
      </c>
      <c r="D152" s="2" t="s">
        <v>603</v>
      </c>
      <c r="E152" s="2" t="s">
        <v>604</v>
      </c>
    </row>
    <row r="153" spans="1:5" x14ac:dyDescent="0.25">
      <c r="A153" s="2" t="s">
        <v>155</v>
      </c>
      <c r="B153" s="2" t="s">
        <v>42</v>
      </c>
      <c r="C153" s="2" t="s">
        <v>278</v>
      </c>
      <c r="D153" s="2" t="s">
        <v>605</v>
      </c>
      <c r="E153" s="2" t="s">
        <v>606</v>
      </c>
    </row>
    <row r="154" spans="1:5" x14ac:dyDescent="0.25">
      <c r="A154" s="2" t="s">
        <v>155</v>
      </c>
      <c r="B154" s="2" t="s">
        <v>42</v>
      </c>
      <c r="C154" s="2" t="s">
        <v>281</v>
      </c>
      <c r="D154" s="2" t="s">
        <v>607</v>
      </c>
      <c r="E154" s="2" t="s">
        <v>608</v>
      </c>
    </row>
    <row r="155" spans="1:5" x14ac:dyDescent="0.25">
      <c r="A155" s="2" t="s">
        <v>155</v>
      </c>
      <c r="B155" s="2" t="s">
        <v>42</v>
      </c>
      <c r="C155" s="2" t="s">
        <v>284</v>
      </c>
      <c r="D155" s="2" t="s">
        <v>609</v>
      </c>
      <c r="E155" s="2" t="s">
        <v>610</v>
      </c>
    </row>
    <row r="156" spans="1:5" x14ac:dyDescent="0.25">
      <c r="A156" s="2" t="s">
        <v>155</v>
      </c>
      <c r="B156" s="2" t="s">
        <v>42</v>
      </c>
      <c r="C156" s="2" t="s">
        <v>513</v>
      </c>
      <c r="D156" s="2" t="s">
        <v>611</v>
      </c>
      <c r="E156" s="2" t="s">
        <v>612</v>
      </c>
    </row>
    <row r="157" spans="1:5" x14ac:dyDescent="0.25">
      <c r="A157" s="2" t="s">
        <v>155</v>
      </c>
      <c r="B157" s="2" t="s">
        <v>42</v>
      </c>
      <c r="C157" s="2" t="s">
        <v>516</v>
      </c>
      <c r="D157" s="2" t="s">
        <v>613</v>
      </c>
      <c r="E157" s="2" t="s">
        <v>614</v>
      </c>
    </row>
    <row r="158" spans="1:5" x14ac:dyDescent="0.25">
      <c r="A158" s="2" t="s">
        <v>155</v>
      </c>
      <c r="B158" s="2" t="s">
        <v>42</v>
      </c>
      <c r="C158" s="2" t="s">
        <v>519</v>
      </c>
      <c r="D158" s="2" t="s">
        <v>615</v>
      </c>
      <c r="E158" s="2" t="s">
        <v>616</v>
      </c>
    </row>
    <row r="159" spans="1:5" x14ac:dyDescent="0.25">
      <c r="A159" s="2" t="s">
        <v>155</v>
      </c>
      <c r="B159" s="2" t="s">
        <v>42</v>
      </c>
      <c r="C159" s="2" t="s">
        <v>522</v>
      </c>
      <c r="D159" s="2" t="s">
        <v>617</v>
      </c>
      <c r="E159" s="2" t="s">
        <v>618</v>
      </c>
    </row>
    <row r="160" spans="1:5" x14ac:dyDescent="0.25">
      <c r="A160" s="2" t="s">
        <v>155</v>
      </c>
      <c r="B160" s="2" t="s">
        <v>42</v>
      </c>
      <c r="C160" s="2" t="s">
        <v>525</v>
      </c>
      <c r="D160" s="2" t="s">
        <v>619</v>
      </c>
      <c r="E160" s="2" t="s">
        <v>620</v>
      </c>
    </row>
    <row r="161" spans="1:5" x14ac:dyDescent="0.25">
      <c r="A161" s="2" t="s">
        <v>155</v>
      </c>
      <c r="B161" s="2" t="s">
        <v>42</v>
      </c>
      <c r="C161" s="2" t="s">
        <v>528</v>
      </c>
      <c r="D161" s="2" t="s">
        <v>621</v>
      </c>
      <c r="E161" s="2" t="s">
        <v>622</v>
      </c>
    </row>
    <row r="162" spans="1:5" x14ac:dyDescent="0.25">
      <c r="A162" s="2" t="s">
        <v>155</v>
      </c>
      <c r="B162" s="2" t="s">
        <v>42</v>
      </c>
      <c r="C162" s="2" t="s">
        <v>531</v>
      </c>
      <c r="D162" s="2" t="s">
        <v>623</v>
      </c>
      <c r="E162" s="2" t="s">
        <v>624</v>
      </c>
    </row>
    <row r="163" spans="1:5" x14ac:dyDescent="0.25">
      <c r="A163" s="2" t="s">
        <v>155</v>
      </c>
      <c r="B163" s="2" t="s">
        <v>42</v>
      </c>
      <c r="C163" s="2" t="s">
        <v>534</v>
      </c>
      <c r="D163" s="2" t="s">
        <v>625</v>
      </c>
      <c r="E163" s="2" t="s">
        <v>626</v>
      </c>
    </row>
    <row r="164" spans="1:5" x14ac:dyDescent="0.25">
      <c r="A164" s="2" t="s">
        <v>155</v>
      </c>
      <c r="B164" s="2" t="s">
        <v>29</v>
      </c>
      <c r="C164" s="2" t="s">
        <v>287</v>
      </c>
      <c r="D164" s="2" t="s">
        <v>627</v>
      </c>
      <c r="E164" s="2" t="s">
        <v>628</v>
      </c>
    </row>
    <row r="165" spans="1:5" x14ac:dyDescent="0.25">
      <c r="A165" s="2" t="s">
        <v>155</v>
      </c>
      <c r="B165" s="2" t="s">
        <v>29</v>
      </c>
      <c r="C165" s="2" t="s">
        <v>290</v>
      </c>
      <c r="D165" s="2" t="s">
        <v>629</v>
      </c>
      <c r="E165" s="2" t="s">
        <v>630</v>
      </c>
    </row>
    <row r="166" spans="1:5" x14ac:dyDescent="0.25">
      <c r="A166" s="2" t="s">
        <v>155</v>
      </c>
      <c r="B166" s="2" t="s">
        <v>29</v>
      </c>
      <c r="C166" s="2" t="s">
        <v>293</v>
      </c>
      <c r="D166" s="2" t="s">
        <v>631</v>
      </c>
      <c r="E166" s="2" t="s">
        <v>632</v>
      </c>
    </row>
    <row r="167" spans="1:5" x14ac:dyDescent="0.25">
      <c r="A167" s="2" t="s">
        <v>155</v>
      </c>
      <c r="B167" s="2" t="s">
        <v>29</v>
      </c>
      <c r="C167" s="2" t="s">
        <v>296</v>
      </c>
      <c r="D167" s="2" t="s">
        <v>633</v>
      </c>
      <c r="E167" s="2" t="s">
        <v>634</v>
      </c>
    </row>
    <row r="168" spans="1:5" x14ac:dyDescent="0.25">
      <c r="A168" s="2" t="s">
        <v>155</v>
      </c>
      <c r="B168" s="2" t="s">
        <v>29</v>
      </c>
      <c r="C168" s="2" t="s">
        <v>299</v>
      </c>
      <c r="D168" s="2" t="s">
        <v>635</v>
      </c>
      <c r="E168" s="2" t="s">
        <v>636</v>
      </c>
    </row>
    <row r="169" spans="1:5" x14ac:dyDescent="0.25">
      <c r="A169" s="2" t="s">
        <v>155</v>
      </c>
      <c r="B169" s="2" t="s">
        <v>29</v>
      </c>
      <c r="C169" s="2" t="s">
        <v>302</v>
      </c>
      <c r="D169" s="2" t="s">
        <v>637</v>
      </c>
      <c r="E169" s="2" t="s">
        <v>638</v>
      </c>
    </row>
    <row r="170" spans="1:5" x14ac:dyDescent="0.25">
      <c r="A170" s="2" t="s">
        <v>155</v>
      </c>
      <c r="B170" s="2" t="s">
        <v>29</v>
      </c>
      <c r="C170" s="2" t="s">
        <v>305</v>
      </c>
      <c r="D170" s="2" t="s">
        <v>639</v>
      </c>
      <c r="E170" s="2" t="s">
        <v>640</v>
      </c>
    </row>
    <row r="171" spans="1:5" x14ac:dyDescent="0.25">
      <c r="A171" s="2" t="s">
        <v>155</v>
      </c>
      <c r="B171" s="2" t="s">
        <v>29</v>
      </c>
      <c r="C171" s="2" t="s">
        <v>308</v>
      </c>
      <c r="D171" s="2" t="s">
        <v>641</v>
      </c>
      <c r="E171" s="2" t="s">
        <v>642</v>
      </c>
    </row>
    <row r="172" spans="1:5" x14ac:dyDescent="0.25">
      <c r="A172" s="2" t="s">
        <v>155</v>
      </c>
      <c r="B172" s="2" t="s">
        <v>29</v>
      </c>
      <c r="C172" s="2" t="s">
        <v>311</v>
      </c>
      <c r="D172" s="2" t="s">
        <v>643</v>
      </c>
      <c r="E172" s="2" t="s">
        <v>644</v>
      </c>
    </row>
    <row r="173" spans="1:5" x14ac:dyDescent="0.25">
      <c r="A173" s="2" t="s">
        <v>155</v>
      </c>
      <c r="B173" s="2" t="s">
        <v>29</v>
      </c>
      <c r="C173" s="2" t="s">
        <v>314</v>
      </c>
      <c r="D173" s="2" t="s">
        <v>645</v>
      </c>
      <c r="E173" s="2" t="s">
        <v>646</v>
      </c>
    </row>
    <row r="174" spans="1:5" x14ac:dyDescent="0.25">
      <c r="A174" s="2" t="s">
        <v>155</v>
      </c>
      <c r="B174" s="2" t="s">
        <v>29</v>
      </c>
      <c r="C174" s="2" t="s">
        <v>317</v>
      </c>
      <c r="D174" s="2" t="s">
        <v>647</v>
      </c>
      <c r="E174" s="2" t="s">
        <v>648</v>
      </c>
    </row>
    <row r="175" spans="1:5" x14ac:dyDescent="0.25">
      <c r="A175" s="2" t="s">
        <v>155</v>
      </c>
      <c r="B175" s="2" t="s">
        <v>29</v>
      </c>
      <c r="C175" s="2" t="s">
        <v>320</v>
      </c>
      <c r="D175" s="2" t="s">
        <v>649</v>
      </c>
      <c r="E175" s="2" t="s">
        <v>650</v>
      </c>
    </row>
    <row r="176" spans="1:5" x14ac:dyDescent="0.25">
      <c r="A176" s="2" t="s">
        <v>155</v>
      </c>
      <c r="B176" s="2" t="s">
        <v>29</v>
      </c>
      <c r="C176" s="2" t="s">
        <v>323</v>
      </c>
      <c r="D176" s="2" t="s">
        <v>651</v>
      </c>
      <c r="E176" s="2" t="s">
        <v>652</v>
      </c>
    </row>
    <row r="177" spans="1:5" x14ac:dyDescent="0.25">
      <c r="A177" s="2" t="s">
        <v>155</v>
      </c>
      <c r="B177" s="2" t="s">
        <v>29</v>
      </c>
      <c r="C177" s="2" t="s">
        <v>326</v>
      </c>
      <c r="D177" s="2" t="s">
        <v>653</v>
      </c>
      <c r="E177" s="2" t="s">
        <v>654</v>
      </c>
    </row>
    <row r="178" spans="1:5" x14ac:dyDescent="0.25">
      <c r="A178" s="2" t="s">
        <v>155</v>
      </c>
      <c r="B178" s="2" t="s">
        <v>29</v>
      </c>
      <c r="C178" s="2" t="s">
        <v>329</v>
      </c>
      <c r="D178" s="2" t="s">
        <v>655</v>
      </c>
      <c r="E178" s="2" t="s">
        <v>656</v>
      </c>
    </row>
    <row r="179" spans="1:5" x14ac:dyDescent="0.25">
      <c r="A179" s="2" t="s">
        <v>155</v>
      </c>
      <c r="B179" s="2" t="s">
        <v>29</v>
      </c>
      <c r="C179" s="2" t="s">
        <v>332</v>
      </c>
      <c r="D179" s="2" t="s">
        <v>657</v>
      </c>
      <c r="E179" s="2" t="s">
        <v>658</v>
      </c>
    </row>
    <row r="180" spans="1:5" x14ac:dyDescent="0.25">
      <c r="A180" s="2" t="s">
        <v>155</v>
      </c>
      <c r="B180" s="2" t="s">
        <v>29</v>
      </c>
      <c r="C180" s="2" t="s">
        <v>335</v>
      </c>
      <c r="D180" s="2" t="s">
        <v>659</v>
      </c>
      <c r="E180" s="2" t="s">
        <v>660</v>
      </c>
    </row>
    <row r="181" spans="1:5" x14ac:dyDescent="0.25">
      <c r="A181" s="2" t="s">
        <v>155</v>
      </c>
      <c r="B181" s="2" t="s">
        <v>29</v>
      </c>
      <c r="C181" s="2" t="s">
        <v>338</v>
      </c>
      <c r="D181" s="2" t="s">
        <v>661</v>
      </c>
      <c r="E181" s="2" t="s">
        <v>662</v>
      </c>
    </row>
    <row r="182" spans="1:5" x14ac:dyDescent="0.25">
      <c r="A182" s="2" t="s">
        <v>155</v>
      </c>
      <c r="B182" s="2" t="s">
        <v>29</v>
      </c>
      <c r="C182" s="2" t="s">
        <v>341</v>
      </c>
      <c r="D182" s="2" t="s">
        <v>663</v>
      </c>
      <c r="E182" s="2" t="s">
        <v>664</v>
      </c>
    </row>
    <row r="183" spans="1:5" x14ac:dyDescent="0.25">
      <c r="A183" s="2" t="s">
        <v>155</v>
      </c>
      <c r="B183" s="2" t="s">
        <v>29</v>
      </c>
      <c r="C183" s="2" t="s">
        <v>344</v>
      </c>
      <c r="D183" s="2" t="s">
        <v>665</v>
      </c>
      <c r="E183" s="2" t="s">
        <v>666</v>
      </c>
    </row>
    <row r="184" spans="1:5" x14ac:dyDescent="0.25">
      <c r="A184" s="2" t="s">
        <v>155</v>
      </c>
      <c r="B184" s="2" t="s">
        <v>29</v>
      </c>
      <c r="C184" s="2" t="s">
        <v>347</v>
      </c>
      <c r="D184" s="2" t="s">
        <v>667</v>
      </c>
      <c r="E184" s="2" t="s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Fase_4_Final</vt:lpstr>
      <vt:lpstr>comparacionDirecta</vt:lpstr>
      <vt:lpstr>Evolucion_F1_F4</vt:lpstr>
      <vt:lpstr>Resumen_Dataset</vt:lpstr>
      <vt:lpstr>Detalle_Runs</vt:lpstr>
      <vt:lpstr>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Del Castillo</cp:lastModifiedBy>
  <dcterms:created xsi:type="dcterms:W3CDTF">2026-06-17T19:49:00Z</dcterms:created>
  <dcterms:modified xsi:type="dcterms:W3CDTF">2026-06-18T19:32:20Z</dcterms:modified>
</cp:coreProperties>
</file>